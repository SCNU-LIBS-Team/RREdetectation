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52" windowHeight="110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<sst xmlns="http://schemas.openxmlformats.org/spreadsheetml/2006/main" count="76" uniqueCount="63">
  <si>
    <t xml:space="preserve"> samples</t>
  </si>
  <si>
    <t>Si_at%</t>
  </si>
  <si>
    <t>Al_at%</t>
  </si>
  <si>
    <t>Fe_at%</t>
  </si>
  <si>
    <t>Ca_at%</t>
  </si>
  <si>
    <t>K_at%</t>
  </si>
  <si>
    <t>Na_at%</t>
  </si>
  <si>
    <t>Mg_at%</t>
  </si>
  <si>
    <t>Cr_at%</t>
  </si>
  <si>
    <t>Cu_at%</t>
  </si>
  <si>
    <t>Mn_at%</t>
  </si>
  <si>
    <t>Zn_at%</t>
  </si>
  <si>
    <t>Ti_at%</t>
  </si>
  <si>
    <t>Ni_at%</t>
  </si>
  <si>
    <t>Mo_at%</t>
  </si>
  <si>
    <t>C_at%</t>
  </si>
  <si>
    <t>Li_at%</t>
  </si>
  <si>
    <t>Pb_at%</t>
  </si>
  <si>
    <t>GBW07162</t>
  </si>
  <si>
    <t>GBW07163</t>
  </si>
  <si>
    <t>GBW07164</t>
  </si>
  <si>
    <t>GBW07165</t>
  </si>
  <si>
    <t>GBW07167</t>
  </si>
  <si>
    <t>GBW07168</t>
  </si>
  <si>
    <t>GBW07819</t>
  </si>
  <si>
    <t>GBW07103</t>
  </si>
  <si>
    <t>GBW07104</t>
  </si>
  <si>
    <t>GBW07105</t>
  </si>
  <si>
    <t>GBW07106</t>
  </si>
  <si>
    <t>GBW07107</t>
  </si>
  <si>
    <t>GBW07108</t>
  </si>
  <si>
    <t>GBW07110</t>
  </si>
  <si>
    <t>GBW07111</t>
  </si>
  <si>
    <t>GBW07114</t>
  </si>
  <si>
    <t>GBW07120</t>
  </si>
  <si>
    <t>GBW07121</t>
  </si>
  <si>
    <t>GBW07122</t>
  </si>
  <si>
    <t>GBW07125</t>
  </si>
  <si>
    <t>GBW07127</t>
  </si>
  <si>
    <t>GBW07128</t>
  </si>
  <si>
    <t>GBW07129</t>
  </si>
  <si>
    <t>GBW07134</t>
  </si>
  <si>
    <t>GBW07141</t>
  </si>
  <si>
    <t>GBW07145</t>
  </si>
  <si>
    <t>GBW07147</t>
  </si>
  <si>
    <t>GBW07148</t>
  </si>
  <si>
    <t>GBW07149</t>
  </si>
  <si>
    <t>GBW07201</t>
  </si>
  <si>
    <t>GBW07401</t>
  </si>
  <si>
    <t>GBW07405</t>
  </si>
  <si>
    <t>GBW07407</t>
  </si>
  <si>
    <t>GBW07840</t>
  </si>
  <si>
    <t>GBW03116</t>
  </si>
  <si>
    <t>GBW03124</t>
  </si>
  <si>
    <t>GBW03130</t>
  </si>
  <si>
    <t>GBW03134</t>
  </si>
  <si>
    <t>GBW070036</t>
  </si>
  <si>
    <t>GBW070099</t>
  </si>
  <si>
    <t>GBW070101</t>
  </si>
  <si>
    <t/>
  </si>
  <si>
    <t>GBW070134</t>
  </si>
  <si>
    <t>GBW070159</t>
  </si>
  <si>
    <t>GBW070171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</si>
</sst>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2" fillId="0" borderId="0" xfId="0" applyFont="1"/>
    <xf numFmtId="0" fontId="2" fillId="3" borderId="0" xfId="0" applyFont="1" applyFill="1"/>
    <xf numFmtId="0" fontId="2" fillId="0" borderId="0" xfId="0" applyFont="1" applyFill="1"/>
    <xf numFmtId="0" fontId="2" fillId="2" borderId="0" xfId="0" applyFont="1" applyFill="1"/>
    <xf numFmtId="0" fontId="2" fillId="4" borderId="0" xfId="0" applyFont="1" applyFill="1"/>
    <xf numFmtId="0" fontId="0" fillId="5" borderId="0" xfId="0" applyFont="1" applyFill="1"/>
    <xf numFmtId="0" fontId="2" fillId="5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tabSelected="1" zoomScale="145" zoomScaleNormal="145" workbookViewId="0">
      <pane ySplit="1" topLeftCell="A74" activePane="bottomLeft" state="frozen"/>
      <selection/>
      <selection pane="bottomLeft" activeCell="H83" sqref="H83"/>
    </sheetView>
  </sheetViews>
  <sheetFormatPr defaultColWidth="9" defaultRowHeight="13.5"/>
  <cols>
    <col min="2" max="3" width="12.7964601769912"/>
    <col min="4" max="5" width="11.6637168141593"/>
    <col min="6" max="9" width="12.7964601769912"/>
    <col min="10" max="10" width="11.6637168141593"/>
    <col min="11" max="13" width="12.7964601769912"/>
    <col min="14" max="14" width="11.6637168141593"/>
    <col min="15" max="16" width="11.6637168141593" style="1"/>
    <col min="17" max="18" width="11.6637168141593"/>
  </cols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2" t="s">
        <v>16</v>
      </c>
      <c r="R1" s="2" t="s">
        <v>17</v>
      </c>
    </row>
    <row r="2" spans="1:18">
      <c r="A2" s="4" t="s">
        <v>18</v>
      </c>
      <c r="B2" s="5">
        <v>65.583706</v>
      </c>
      <c r="C2" s="5">
        <v>17.300343</v>
      </c>
      <c r="D2" s="5">
        <v>5.24173</v>
      </c>
      <c r="E2" s="5">
        <v>1.69487</v>
      </c>
      <c r="F2" s="6">
        <v>5.112881</v>
      </c>
      <c r="G2" s="4">
        <v>1.371245</v>
      </c>
      <c r="H2" s="5">
        <v>2.406168</v>
      </c>
      <c r="I2" s="4">
        <v>0</v>
      </c>
      <c r="J2" s="6">
        <v>0.259825</v>
      </c>
      <c r="K2" s="5">
        <v>0.10358</v>
      </c>
      <c r="L2" s="5">
        <v>0.79405</v>
      </c>
      <c r="M2" s="4">
        <v>0</v>
      </c>
      <c r="N2" s="4">
        <v>0</v>
      </c>
      <c r="O2" s="7">
        <v>0.001814</v>
      </c>
      <c r="P2" s="7">
        <v>0</v>
      </c>
      <c r="Q2" s="4">
        <v>0</v>
      </c>
      <c r="R2" s="4">
        <v>0.129788</v>
      </c>
    </row>
    <row r="3" spans="1:18">
      <c r="A3" s="4" t="s">
        <v>19</v>
      </c>
      <c r="B3" s="5">
        <v>54.667855</v>
      </c>
      <c r="C3" s="5">
        <v>15.066141</v>
      </c>
      <c r="D3" s="5">
        <v>10.314829</v>
      </c>
      <c r="E3" s="5">
        <v>5.747437</v>
      </c>
      <c r="F3" s="6">
        <v>4.512875</v>
      </c>
      <c r="G3" s="4">
        <v>0.53091</v>
      </c>
      <c r="H3" s="5">
        <v>2.364409</v>
      </c>
      <c r="I3" s="4">
        <v>0</v>
      </c>
      <c r="J3" s="5">
        <v>1.13307</v>
      </c>
      <c r="K3" s="5">
        <v>0.474336</v>
      </c>
      <c r="L3" s="5">
        <v>4.468232</v>
      </c>
      <c r="M3" s="4">
        <v>0</v>
      </c>
      <c r="N3" s="4">
        <v>0</v>
      </c>
      <c r="O3" s="7">
        <v>0.001714</v>
      </c>
      <c r="P3" s="7">
        <v>0</v>
      </c>
      <c r="Q3" s="4">
        <v>0</v>
      </c>
      <c r="R3" s="4">
        <v>0.71819</v>
      </c>
    </row>
    <row r="4" spans="1:18">
      <c r="A4" s="4" t="s">
        <v>20</v>
      </c>
      <c r="B4" s="5">
        <v>44.932695</v>
      </c>
      <c r="C4" s="5">
        <v>10.173444</v>
      </c>
      <c r="D4" s="5">
        <v>13.574434</v>
      </c>
      <c r="E4" s="5">
        <v>20.396429</v>
      </c>
      <c r="F4" s="6">
        <v>2.527352</v>
      </c>
      <c r="G4" s="4">
        <v>1.156981</v>
      </c>
      <c r="H4" s="5">
        <v>3.843993</v>
      </c>
      <c r="I4" s="4">
        <v>0</v>
      </c>
      <c r="J4" s="5">
        <v>2.930058</v>
      </c>
      <c r="K4" s="4">
        <v>0.291722</v>
      </c>
      <c r="L4" s="4">
        <v>0.145429</v>
      </c>
      <c r="M4" s="4">
        <v>0</v>
      </c>
      <c r="N4" s="4">
        <v>0</v>
      </c>
      <c r="O4" s="7">
        <v>0.009509</v>
      </c>
      <c r="P4" s="7">
        <v>0</v>
      </c>
      <c r="Q4" s="4">
        <v>0</v>
      </c>
      <c r="R4" s="4">
        <v>0.017954</v>
      </c>
    </row>
    <row r="5" spans="1:18">
      <c r="A5" s="4" t="s">
        <v>21</v>
      </c>
      <c r="B5" s="5">
        <v>22.72825</v>
      </c>
      <c r="C5" s="5">
        <v>4.74963</v>
      </c>
      <c r="D5" s="5">
        <v>33.997156</v>
      </c>
      <c r="E5" s="5">
        <v>11.229094</v>
      </c>
      <c r="F5" s="4">
        <v>1.605457</v>
      </c>
      <c r="G5" s="4">
        <v>0.092701</v>
      </c>
      <c r="H5" s="5">
        <v>1.418796</v>
      </c>
      <c r="I5" s="4">
        <v>0</v>
      </c>
      <c r="J5" s="4">
        <v>0.146365</v>
      </c>
      <c r="K5" s="4">
        <v>1.040244</v>
      </c>
      <c r="L5" s="5">
        <v>20.594002</v>
      </c>
      <c r="M5" s="4">
        <v>0</v>
      </c>
      <c r="N5" s="4">
        <v>0</v>
      </c>
      <c r="O5" s="7">
        <v>0</v>
      </c>
      <c r="P5" s="7">
        <v>0</v>
      </c>
      <c r="Q5" s="4">
        <v>0</v>
      </c>
      <c r="R5" s="4">
        <v>2.398305</v>
      </c>
    </row>
    <row r="6" spans="1:18">
      <c r="A6" s="4" t="s">
        <v>22</v>
      </c>
      <c r="B6" s="4">
        <v>2.007048</v>
      </c>
      <c r="C6" s="4">
        <v>0.93953</v>
      </c>
      <c r="D6" s="5">
        <v>38.091726</v>
      </c>
      <c r="E6" s="5">
        <v>0.632499</v>
      </c>
      <c r="F6" s="4">
        <v>0.226728</v>
      </c>
      <c r="G6" s="4">
        <v>0.069312</v>
      </c>
      <c r="H6" s="4">
        <v>0.145893</v>
      </c>
      <c r="I6" s="4">
        <v>0</v>
      </c>
      <c r="J6" s="4">
        <v>0.078176</v>
      </c>
      <c r="K6" s="4">
        <v>0.00975</v>
      </c>
      <c r="L6" s="5">
        <v>8.947514</v>
      </c>
      <c r="M6" s="4">
        <v>0</v>
      </c>
      <c r="N6" s="4">
        <v>0</v>
      </c>
      <c r="O6" s="7">
        <v>0</v>
      </c>
      <c r="P6" s="7">
        <v>0</v>
      </c>
      <c r="Q6" s="4">
        <v>0</v>
      </c>
      <c r="R6" s="5">
        <v>48.851824</v>
      </c>
    </row>
    <row r="7" spans="1:18">
      <c r="A7" s="4" t="s">
        <v>23</v>
      </c>
      <c r="B7" s="5">
        <v>5.297589</v>
      </c>
      <c r="C7" s="5">
        <v>1.099273</v>
      </c>
      <c r="D7" s="5">
        <v>11.237672</v>
      </c>
      <c r="E7" s="5">
        <v>1.681074</v>
      </c>
      <c r="F7" s="4">
        <v>0.374281</v>
      </c>
      <c r="G7" s="4">
        <v>0</v>
      </c>
      <c r="H7" s="6">
        <v>0.206046</v>
      </c>
      <c r="I7" s="4">
        <v>0</v>
      </c>
      <c r="J7" s="4">
        <v>0.213314</v>
      </c>
      <c r="K7" s="4">
        <v>0.044686</v>
      </c>
      <c r="L7" s="5">
        <v>79.163499</v>
      </c>
      <c r="M7" s="4">
        <v>0</v>
      </c>
      <c r="N7" s="4">
        <v>0</v>
      </c>
      <c r="O7" s="7">
        <v>0</v>
      </c>
      <c r="P7" s="7">
        <v>0</v>
      </c>
      <c r="Q7" s="4">
        <v>0</v>
      </c>
      <c r="R7" s="4">
        <v>0.682565</v>
      </c>
    </row>
    <row r="8" spans="1:18">
      <c r="A8" s="4" t="s">
        <v>24</v>
      </c>
      <c r="B8" s="5">
        <v>12.478375</v>
      </c>
      <c r="C8" s="5">
        <v>13.660996</v>
      </c>
      <c r="D8" s="5">
        <v>9.083909</v>
      </c>
      <c r="E8" s="5">
        <v>0.348507</v>
      </c>
      <c r="F8" s="4">
        <v>0.032897</v>
      </c>
      <c r="G8" s="4">
        <v>0.143899</v>
      </c>
      <c r="H8" s="5">
        <v>35.442712</v>
      </c>
      <c r="I8" s="4">
        <v>27.762265</v>
      </c>
      <c r="J8" s="4">
        <v>0</v>
      </c>
      <c r="K8" s="4">
        <v>0.100344</v>
      </c>
      <c r="L8" s="4">
        <v>0</v>
      </c>
      <c r="M8" s="4">
        <v>0.127972</v>
      </c>
      <c r="N8" s="4">
        <v>0.180594</v>
      </c>
      <c r="O8" s="7">
        <v>0</v>
      </c>
      <c r="P8" s="7">
        <v>0.637531</v>
      </c>
      <c r="Q8" s="4">
        <v>0</v>
      </c>
      <c r="R8" s="4">
        <v>0</v>
      </c>
    </row>
    <row r="9" spans="1:18">
      <c r="A9" s="4" t="s">
        <v>25</v>
      </c>
      <c r="B9" s="5">
        <v>68.994892</v>
      </c>
      <c r="C9" s="5">
        <v>14.961015</v>
      </c>
      <c r="D9" s="5">
        <v>1.524778</v>
      </c>
      <c r="E9" s="5">
        <v>1.572192</v>
      </c>
      <c r="F9" s="6">
        <v>6.054828</v>
      </c>
      <c r="G9" s="6">
        <v>5.748939</v>
      </c>
      <c r="H9" s="5">
        <v>0.592482</v>
      </c>
      <c r="I9" s="4">
        <v>0.000398</v>
      </c>
      <c r="J9" s="4">
        <v>0.000285</v>
      </c>
      <c r="K9" s="4">
        <v>0.045195</v>
      </c>
      <c r="L9" s="4">
        <v>0.002448</v>
      </c>
      <c r="M9" s="4">
        <v>0.204514</v>
      </c>
      <c r="N9" s="4">
        <v>0.000228</v>
      </c>
      <c r="O9" s="7">
        <v>0</v>
      </c>
      <c r="P9" s="7">
        <v>0.189544</v>
      </c>
      <c r="Q9" s="4">
        <v>0.107408</v>
      </c>
      <c r="R9" s="4">
        <v>0.000854</v>
      </c>
    </row>
    <row r="10" spans="1:18">
      <c r="A10" s="4" t="s">
        <v>26</v>
      </c>
      <c r="B10" s="5">
        <v>56.858585</v>
      </c>
      <c r="C10" s="5">
        <v>17.87496</v>
      </c>
      <c r="D10" s="5">
        <v>3.458401</v>
      </c>
      <c r="E10" s="5">
        <v>5.22536</v>
      </c>
      <c r="F10" s="6">
        <v>2.260139</v>
      </c>
      <c r="G10" s="6">
        <v>7.018244</v>
      </c>
      <c r="H10" s="5">
        <v>2.404526</v>
      </c>
      <c r="I10" s="4">
        <v>0.003494</v>
      </c>
      <c r="J10" s="4">
        <v>0.004903</v>
      </c>
      <c r="K10" s="4">
        <v>0.061542</v>
      </c>
      <c r="L10" s="4">
        <v>0.006143</v>
      </c>
      <c r="M10" s="4">
        <v>0.363784</v>
      </c>
      <c r="N10" s="5">
        <v>0.001634</v>
      </c>
      <c r="O10" s="7">
        <v>0</v>
      </c>
      <c r="P10" s="7">
        <v>4.443407</v>
      </c>
      <c r="Q10" s="4">
        <v>0.014596</v>
      </c>
      <c r="R10" s="4">
        <v>0.000282</v>
      </c>
    </row>
    <row r="11" spans="1:18">
      <c r="A11" s="4" t="s">
        <v>27</v>
      </c>
      <c r="B11" s="5">
        <v>43.009331</v>
      </c>
      <c r="C11" s="5">
        <v>15.703316</v>
      </c>
      <c r="D11" s="5">
        <v>9.715441</v>
      </c>
      <c r="E11" s="5">
        <v>9.094383</v>
      </c>
      <c r="F11" s="6">
        <v>2.85028</v>
      </c>
      <c r="G11" s="6">
        <v>6.312877</v>
      </c>
      <c r="H11" s="5">
        <v>11.159077</v>
      </c>
      <c r="I11" s="4">
        <v>0.014936</v>
      </c>
      <c r="J11" s="4">
        <v>0.004458</v>
      </c>
      <c r="K11" s="4">
        <v>0.138071</v>
      </c>
      <c r="L11" s="4">
        <v>0.013257</v>
      </c>
      <c r="M11" s="4">
        <v>1.717405</v>
      </c>
      <c r="N11" s="4">
        <v>0.013836</v>
      </c>
      <c r="O11" s="7">
        <v>0</v>
      </c>
      <c r="P11" s="7">
        <v>0.245807</v>
      </c>
      <c r="Q11" s="4">
        <v>0.007526</v>
      </c>
      <c r="R11" s="4">
        <v>0</v>
      </c>
    </row>
    <row r="12" spans="1:18">
      <c r="A12" s="4" t="s">
        <v>28</v>
      </c>
      <c r="B12" s="5">
        <v>91.450003</v>
      </c>
      <c r="C12" s="5">
        <v>4.196492</v>
      </c>
      <c r="D12" s="5">
        <v>2.452256</v>
      </c>
      <c r="E12" s="5">
        <v>0.32473</v>
      </c>
      <c r="F12" s="4">
        <v>0.838338</v>
      </c>
      <c r="G12" s="4">
        <v>0.119007</v>
      </c>
      <c r="H12" s="4">
        <v>0.122595</v>
      </c>
      <c r="I12" s="4">
        <v>0.002311</v>
      </c>
      <c r="J12" s="4">
        <v>0.001824</v>
      </c>
      <c r="K12" s="4">
        <v>0.017149</v>
      </c>
      <c r="L12" s="4">
        <v>0.001885</v>
      </c>
      <c r="M12" s="4">
        <v>0.200736</v>
      </c>
      <c r="N12" s="4">
        <v>0.001642</v>
      </c>
      <c r="O12" s="7">
        <v>0</v>
      </c>
      <c r="P12" s="7">
        <v>0.262277</v>
      </c>
      <c r="Q12" s="4">
        <v>0.008757</v>
      </c>
      <c r="R12" s="4">
        <v>0</v>
      </c>
    </row>
    <row r="13" spans="1:18">
      <c r="A13" s="4" t="s">
        <v>29</v>
      </c>
      <c r="B13" s="5">
        <v>60.772468</v>
      </c>
      <c r="C13" s="5">
        <v>22.757355</v>
      </c>
      <c r="D13" s="5">
        <v>5.867524</v>
      </c>
      <c r="E13" s="5">
        <v>0.658366</v>
      </c>
      <c r="F13" s="4">
        <v>5.444787</v>
      </c>
      <c r="G13" s="4">
        <v>0.694554</v>
      </c>
      <c r="H13" s="5">
        <v>3.074264</v>
      </c>
      <c r="I13" s="4">
        <v>0.011714</v>
      </c>
      <c r="J13" s="4">
        <v>0.004069</v>
      </c>
      <c r="K13" s="4">
        <v>0.01942</v>
      </c>
      <c r="L13" s="4">
        <v>0.005179</v>
      </c>
      <c r="M13" s="4">
        <v>0.50874</v>
      </c>
      <c r="N13" s="4">
        <v>0.003884</v>
      </c>
      <c r="O13" s="7">
        <v>0</v>
      </c>
      <c r="P13" s="7">
        <v>0.13859</v>
      </c>
      <c r="Q13" s="4">
        <v>0.039086</v>
      </c>
      <c r="R13" s="4">
        <v>0</v>
      </c>
    </row>
    <row r="14" spans="1:18">
      <c r="A14" s="4" t="s">
        <v>30</v>
      </c>
      <c r="B14" s="5">
        <v>13.555426</v>
      </c>
      <c r="C14" s="5">
        <v>5.150969</v>
      </c>
      <c r="D14" s="6">
        <v>1.647341</v>
      </c>
      <c r="E14" s="5">
        <v>33.210221</v>
      </c>
      <c r="F14" s="4">
        <v>0.863977</v>
      </c>
      <c r="G14" s="4">
        <v>0.133972</v>
      </c>
      <c r="H14" s="5">
        <v>6.721508</v>
      </c>
      <c r="I14" s="4">
        <v>0.003237</v>
      </c>
      <c r="J14" s="4">
        <v>0.00188</v>
      </c>
      <c r="K14" s="4">
        <v>0.041246</v>
      </c>
      <c r="L14" s="4">
        <v>0.004177</v>
      </c>
      <c r="M14" s="4">
        <v>0.213801</v>
      </c>
      <c r="N14" s="4">
        <v>0.001619</v>
      </c>
      <c r="O14" s="7">
        <v>0</v>
      </c>
      <c r="P14" s="7">
        <v>38.43512</v>
      </c>
      <c r="Q14" s="4">
        <v>0.015037</v>
      </c>
      <c r="R14" s="4">
        <v>0.00047</v>
      </c>
    </row>
    <row r="15" spans="1:18">
      <c r="A15" s="4" t="s">
        <v>31</v>
      </c>
      <c r="B15" s="5">
        <v>60.480471</v>
      </c>
      <c r="C15" s="5">
        <v>18.199217</v>
      </c>
      <c r="D15" s="5">
        <v>3.407451</v>
      </c>
      <c r="E15" s="5">
        <v>2.537896</v>
      </c>
      <c r="F15" s="4">
        <v>6.324715</v>
      </c>
      <c r="G15" s="4">
        <v>5.690169</v>
      </c>
      <c r="H15" s="5">
        <v>1.199765</v>
      </c>
      <c r="I15" s="4">
        <v>0.000749</v>
      </c>
      <c r="J15" s="4">
        <v>0.000807</v>
      </c>
      <c r="K15" s="5">
        <v>0.071344</v>
      </c>
      <c r="L15" s="4">
        <v>0.144532</v>
      </c>
      <c r="M15" s="4">
        <v>0.576687</v>
      </c>
      <c r="N15" s="4">
        <v>0.001153</v>
      </c>
      <c r="O15" s="7">
        <v>0</v>
      </c>
      <c r="P15" s="7">
        <v>1.348216</v>
      </c>
      <c r="Q15" s="4">
        <v>0.014119</v>
      </c>
      <c r="R15" s="4">
        <v>0.002709</v>
      </c>
    </row>
    <row r="16" spans="1:18">
      <c r="A16" s="4" t="s">
        <v>32</v>
      </c>
      <c r="B16" s="5">
        <v>56.190019</v>
      </c>
      <c r="C16" s="5">
        <v>18.375333</v>
      </c>
      <c r="D16" s="5">
        <v>4.295228</v>
      </c>
      <c r="E16" s="5">
        <v>4.761218</v>
      </c>
      <c r="F16" s="4">
        <v>4.203354</v>
      </c>
      <c r="G16" s="4">
        <v>7.392133</v>
      </c>
      <c r="H16" s="5">
        <v>3.943006</v>
      </c>
      <c r="I16" s="4">
        <v>0.004017</v>
      </c>
      <c r="J16" s="4">
        <v>0.000735</v>
      </c>
      <c r="K16" s="5">
        <v>0.074167</v>
      </c>
      <c r="L16" s="4">
        <v>0.007354</v>
      </c>
      <c r="M16" s="4">
        <v>0.544852</v>
      </c>
      <c r="N16" s="4">
        <v>0.002319</v>
      </c>
      <c r="O16" s="7">
        <v>0</v>
      </c>
      <c r="P16" s="7">
        <v>0.19263</v>
      </c>
      <c r="Q16" s="4">
        <v>0.013068</v>
      </c>
      <c r="R16" s="4">
        <v>0.000566</v>
      </c>
    </row>
    <row r="17" spans="1:18">
      <c r="A17" s="4" t="s">
        <v>33</v>
      </c>
      <c r="B17" s="4">
        <v>0.477199</v>
      </c>
      <c r="C17" s="4">
        <v>0.090941</v>
      </c>
      <c r="D17" s="4">
        <v>0.119601</v>
      </c>
      <c r="E17" s="5">
        <v>24.826001</v>
      </c>
      <c r="F17" s="4">
        <v>0.037378</v>
      </c>
      <c r="G17" s="4">
        <v>0.044798</v>
      </c>
      <c r="H17" s="5">
        <v>25.08315</v>
      </c>
      <c r="I17" s="4">
        <v>0</v>
      </c>
      <c r="J17" s="4">
        <v>0.00218</v>
      </c>
      <c r="K17" s="4">
        <v>0.006493</v>
      </c>
      <c r="L17" s="4">
        <v>0.000788</v>
      </c>
      <c r="M17" s="4">
        <v>0.008626</v>
      </c>
      <c r="N17" s="4">
        <v>0.018967</v>
      </c>
      <c r="O17" s="7">
        <v>0</v>
      </c>
      <c r="P17" s="7">
        <v>49.282439</v>
      </c>
      <c r="Q17" s="4">
        <v>0.001345</v>
      </c>
      <c r="R17" s="4">
        <v>9.3e-5</v>
      </c>
    </row>
    <row r="18" spans="1:18">
      <c r="A18" s="4" t="s">
        <v>34</v>
      </c>
      <c r="B18" s="4">
        <v>5.633049</v>
      </c>
      <c r="C18" s="4">
        <v>0.677279</v>
      </c>
      <c r="D18" s="4">
        <v>0.133063</v>
      </c>
      <c r="E18" s="5">
        <v>46.384994</v>
      </c>
      <c r="F18" s="4">
        <v>0.161468</v>
      </c>
      <c r="G18" s="4">
        <v>0.048715</v>
      </c>
      <c r="H18" s="5">
        <v>0.896421</v>
      </c>
      <c r="I18" s="4">
        <v>0.000356</v>
      </c>
      <c r="J18" s="4">
        <v>0.000153</v>
      </c>
      <c r="K18" s="4">
        <v>0.002596</v>
      </c>
      <c r="L18" s="4">
        <v>0</v>
      </c>
      <c r="M18" s="4">
        <v>0.024434</v>
      </c>
      <c r="N18" s="4">
        <v>0</v>
      </c>
      <c r="O18" s="7">
        <v>0</v>
      </c>
      <c r="P18" s="7">
        <v>46.034519</v>
      </c>
      <c r="Q18" s="4">
        <v>0.002952</v>
      </c>
      <c r="R18" s="4">
        <v>0</v>
      </c>
    </row>
    <row r="19" spans="1:18">
      <c r="A19" s="4" t="s">
        <v>35</v>
      </c>
      <c r="B19" s="5">
        <v>61.642356</v>
      </c>
      <c r="C19" s="5">
        <v>17.900715</v>
      </c>
      <c r="D19" s="5">
        <v>2.183712</v>
      </c>
      <c r="E19" s="5">
        <v>2.651003</v>
      </c>
      <c r="F19" s="4">
        <v>3.084817</v>
      </c>
      <c r="G19" s="5">
        <v>9.556366</v>
      </c>
      <c r="H19" s="5">
        <v>2.258101</v>
      </c>
      <c r="I19" s="4">
        <v>0.002571</v>
      </c>
      <c r="J19" s="4">
        <v>0.000279</v>
      </c>
      <c r="K19" s="4">
        <v>0.043761</v>
      </c>
      <c r="L19" s="4">
        <v>0.004024</v>
      </c>
      <c r="M19" s="4">
        <v>0.210144</v>
      </c>
      <c r="N19" s="4">
        <v>0</v>
      </c>
      <c r="O19" s="7">
        <v>0</v>
      </c>
      <c r="P19" s="7">
        <v>0.44203</v>
      </c>
      <c r="Q19" s="4">
        <v>0.02012</v>
      </c>
      <c r="R19" s="4">
        <v>0</v>
      </c>
    </row>
    <row r="20" spans="1:18">
      <c r="A20" s="6" t="s">
        <v>36</v>
      </c>
      <c r="B20" s="5">
        <v>47.831811</v>
      </c>
      <c r="C20" s="5">
        <v>15.631766</v>
      </c>
      <c r="D20" s="5">
        <v>10.735646</v>
      </c>
      <c r="E20" s="5">
        <v>9.915436</v>
      </c>
      <c r="F20" s="4">
        <v>0.589629</v>
      </c>
      <c r="G20" s="4">
        <v>3.867223</v>
      </c>
      <c r="H20" s="5">
        <v>10.344858</v>
      </c>
      <c r="I20" s="4">
        <v>0.015233</v>
      </c>
      <c r="J20" s="4">
        <v>0.007645</v>
      </c>
      <c r="K20" s="5">
        <v>0.168664</v>
      </c>
      <c r="L20" s="4">
        <v>0.008862</v>
      </c>
      <c r="M20" s="4">
        <v>0.666721</v>
      </c>
      <c r="N20" s="4">
        <v>0</v>
      </c>
      <c r="O20" s="7">
        <v>0</v>
      </c>
      <c r="P20" s="7">
        <v>0.207355</v>
      </c>
      <c r="Q20" s="4">
        <v>0.009151</v>
      </c>
      <c r="R20" s="4">
        <v>0</v>
      </c>
    </row>
    <row r="21" spans="1:18">
      <c r="A21" s="4" t="s">
        <v>37</v>
      </c>
      <c r="B21" s="5">
        <v>73.455597</v>
      </c>
      <c r="C21" s="5">
        <v>14.944521</v>
      </c>
      <c r="D21" s="4">
        <v>0.172732</v>
      </c>
      <c r="E21" s="5">
        <v>0.102946</v>
      </c>
      <c r="F21" s="4">
        <v>7.628672</v>
      </c>
      <c r="G21" s="4">
        <v>2.980227</v>
      </c>
      <c r="H21" s="4">
        <v>0.186134</v>
      </c>
      <c r="I21" s="4">
        <v>0.000462</v>
      </c>
      <c r="J21" s="4">
        <v>0.000347</v>
      </c>
      <c r="K21" s="4">
        <v>0.008088</v>
      </c>
      <c r="L21" s="4">
        <v>0.001791</v>
      </c>
      <c r="M21" s="4">
        <v>0.440495</v>
      </c>
      <c r="N21" s="4">
        <v>0</v>
      </c>
      <c r="O21" s="7">
        <v>0</v>
      </c>
      <c r="P21" s="7">
        <v>0.065395</v>
      </c>
      <c r="Q21" s="4">
        <v>0.011669</v>
      </c>
      <c r="R21" s="4">
        <v>0.000924</v>
      </c>
    </row>
    <row r="22" spans="1:18">
      <c r="A22" s="4" t="s">
        <v>38</v>
      </c>
      <c r="B22" s="4">
        <v>0.446983</v>
      </c>
      <c r="C22" s="4">
        <v>0.161109</v>
      </c>
      <c r="D22" s="4">
        <v>0.118072</v>
      </c>
      <c r="E22" s="5">
        <v>41.717716</v>
      </c>
      <c r="F22" s="4">
        <v>0.043721</v>
      </c>
      <c r="G22" s="4">
        <v>0.034</v>
      </c>
      <c r="H22" s="5">
        <v>8.19235</v>
      </c>
      <c r="I22" s="4">
        <v>0.000391</v>
      </c>
      <c r="J22" s="4">
        <v>0.000147</v>
      </c>
      <c r="K22" s="4">
        <v>0.006155</v>
      </c>
      <c r="L22" s="4">
        <v>0.000586</v>
      </c>
      <c r="M22" s="4">
        <v>0.006644</v>
      </c>
      <c r="N22" s="4">
        <v>0.00044</v>
      </c>
      <c r="O22" s="7">
        <v>0</v>
      </c>
      <c r="P22" s="7">
        <v>49.269536</v>
      </c>
      <c r="Q22" s="4">
        <v>0.002101</v>
      </c>
      <c r="R22" s="4">
        <v>4.9e-5</v>
      </c>
    </row>
    <row r="23" spans="1:18">
      <c r="A23" s="4" t="s">
        <v>39</v>
      </c>
      <c r="B23" s="4">
        <v>0.575793</v>
      </c>
      <c r="C23" s="4">
        <v>0.206916</v>
      </c>
      <c r="D23" s="4">
        <v>0.123264</v>
      </c>
      <c r="E23" s="5">
        <v>36.005287</v>
      </c>
      <c r="F23" s="4">
        <v>0.052944</v>
      </c>
      <c r="G23" s="4">
        <v>0.043944</v>
      </c>
      <c r="H23" s="5">
        <v>13.875974</v>
      </c>
      <c r="I23" s="4">
        <v>0.000481</v>
      </c>
      <c r="J23" s="4">
        <v>0.000144</v>
      </c>
      <c r="K23" s="4">
        <v>0.006065</v>
      </c>
      <c r="L23" s="4">
        <v>0.000674</v>
      </c>
      <c r="M23" s="4">
        <v>0.013092</v>
      </c>
      <c r="N23" s="4">
        <v>0.000337</v>
      </c>
      <c r="O23" s="7">
        <v>0</v>
      </c>
      <c r="P23" s="7">
        <v>49.09292</v>
      </c>
      <c r="Q23" s="4">
        <v>0.00207</v>
      </c>
      <c r="R23" s="4">
        <v>9.6e-5</v>
      </c>
    </row>
    <row r="24" spans="1:18">
      <c r="A24" s="4" t="s">
        <v>40</v>
      </c>
      <c r="B24" s="4">
        <v>0.251166</v>
      </c>
      <c r="C24" s="4">
        <v>0.147526</v>
      </c>
      <c r="D24" s="4">
        <v>0.044187</v>
      </c>
      <c r="E24" s="5">
        <v>49.856404</v>
      </c>
      <c r="F24" s="4">
        <v>0.011588</v>
      </c>
      <c r="G24" s="4">
        <v>0.021917</v>
      </c>
      <c r="H24" s="4">
        <v>0.298528</v>
      </c>
      <c r="I24" s="4">
        <v>0.000302</v>
      </c>
      <c r="J24" s="4">
        <v>0.000151</v>
      </c>
      <c r="K24" s="4">
        <v>0.021111</v>
      </c>
      <c r="L24" s="4">
        <v>0.000453</v>
      </c>
      <c r="M24" s="4">
        <v>0.004232</v>
      </c>
      <c r="N24" s="4">
        <v>0.000353</v>
      </c>
      <c r="O24" s="7">
        <v>0</v>
      </c>
      <c r="P24" s="7">
        <v>49.339914</v>
      </c>
      <c r="Q24" s="4">
        <v>0.002167</v>
      </c>
      <c r="R24" s="4">
        <v>0</v>
      </c>
    </row>
    <row r="25" spans="1:18">
      <c r="A25" s="8" t="s">
        <v>41</v>
      </c>
      <c r="B25" s="4">
        <v>0.917938</v>
      </c>
      <c r="C25" s="4">
        <v>0.166258</v>
      </c>
      <c r="D25" s="4">
        <v>0.264663</v>
      </c>
      <c r="E25" s="5">
        <v>32.064133</v>
      </c>
      <c r="F25" s="4">
        <v>0.025357</v>
      </c>
      <c r="G25" s="4">
        <v>0.045189</v>
      </c>
      <c r="H25" s="5">
        <v>17.525723</v>
      </c>
      <c r="I25" s="4">
        <v>0.000803</v>
      </c>
      <c r="J25" s="4">
        <v>0.000236</v>
      </c>
      <c r="K25" s="4">
        <v>0.034375</v>
      </c>
      <c r="L25" s="4">
        <v>0.00255</v>
      </c>
      <c r="M25" s="4">
        <v>0.005241</v>
      </c>
      <c r="N25" s="4">
        <v>0.000425</v>
      </c>
      <c r="O25" s="7">
        <v>0</v>
      </c>
      <c r="P25" s="7">
        <v>48.944891</v>
      </c>
      <c r="Q25" s="4">
        <v>0.00203</v>
      </c>
      <c r="R25" s="4">
        <v>0.000189</v>
      </c>
    </row>
    <row r="26" spans="1:18">
      <c r="A26" s="4" t="s">
        <v>42</v>
      </c>
      <c r="B26" s="4">
        <v>56.849549</v>
      </c>
      <c r="C26" s="4">
        <v>6.087678</v>
      </c>
      <c r="D26" s="4">
        <v>7.512518</v>
      </c>
      <c r="E26" s="4">
        <v>19.551013</v>
      </c>
      <c r="F26" s="4">
        <v>0.835016</v>
      </c>
      <c r="G26" s="4">
        <v>1.731688</v>
      </c>
      <c r="H26" s="4">
        <v>6.352986</v>
      </c>
      <c r="I26" s="4">
        <v>0.000239</v>
      </c>
      <c r="J26" s="4">
        <v>0.000477</v>
      </c>
      <c r="K26" s="4">
        <v>0.999512</v>
      </c>
      <c r="L26" s="4">
        <v>0.032589</v>
      </c>
      <c r="M26" s="4">
        <v>0</v>
      </c>
      <c r="N26" s="4">
        <v>0.005491</v>
      </c>
      <c r="O26" s="7">
        <v>0.041064</v>
      </c>
      <c r="P26" s="7">
        <v>0</v>
      </c>
      <c r="Q26" s="4">
        <v>0</v>
      </c>
      <c r="R26" s="4">
        <v>0.000179</v>
      </c>
    </row>
    <row r="27" spans="1:18">
      <c r="A27" s="4" t="s">
        <v>43</v>
      </c>
      <c r="B27" s="4">
        <v>54.054809</v>
      </c>
      <c r="C27" s="4">
        <v>14.171343</v>
      </c>
      <c r="D27" s="4">
        <v>6.357468</v>
      </c>
      <c r="E27" s="4">
        <v>4.853013</v>
      </c>
      <c r="F27" s="4">
        <v>1.896353</v>
      </c>
      <c r="G27" s="4">
        <v>4.123242</v>
      </c>
      <c r="H27" s="4">
        <v>14.195958</v>
      </c>
      <c r="I27" s="4">
        <v>0.089883</v>
      </c>
      <c r="J27" s="4">
        <v>0.03071</v>
      </c>
      <c r="K27" s="4">
        <v>0.103374</v>
      </c>
      <c r="L27" s="4">
        <v>0.00716</v>
      </c>
      <c r="M27" s="4">
        <v>0.005207</v>
      </c>
      <c r="N27" s="4">
        <v>0.110889</v>
      </c>
      <c r="O27" s="7">
        <v>0</v>
      </c>
      <c r="P27" s="7">
        <v>0</v>
      </c>
      <c r="Q27" s="4">
        <v>0</v>
      </c>
      <c r="R27" s="4">
        <v>0.000592</v>
      </c>
    </row>
    <row r="28" spans="1:18">
      <c r="A28" s="4" t="s">
        <v>44</v>
      </c>
      <c r="B28" s="4">
        <v>46.904766</v>
      </c>
      <c r="C28" s="4">
        <v>10.206698</v>
      </c>
      <c r="D28" s="4">
        <v>11.067177</v>
      </c>
      <c r="E28" s="4">
        <v>5.041839</v>
      </c>
      <c r="F28" s="4">
        <v>1.149351</v>
      </c>
      <c r="G28" s="4">
        <v>3.00915</v>
      </c>
      <c r="H28" s="4">
        <v>21.567739</v>
      </c>
      <c r="I28" s="4">
        <v>0</v>
      </c>
      <c r="J28" s="4">
        <v>0</v>
      </c>
      <c r="K28" s="4">
        <v>0</v>
      </c>
      <c r="L28" s="4">
        <v>0.007098</v>
      </c>
      <c r="M28" s="4">
        <v>0</v>
      </c>
      <c r="N28" s="4">
        <v>1.04546</v>
      </c>
      <c r="O28" s="7">
        <v>0</v>
      </c>
      <c r="P28" s="7">
        <v>0</v>
      </c>
      <c r="Q28" s="4">
        <v>0</v>
      </c>
      <c r="R28" s="4">
        <v>0.000722</v>
      </c>
    </row>
    <row r="29" spans="1:18">
      <c r="A29" s="4" t="s">
        <v>45</v>
      </c>
      <c r="B29" s="4">
        <v>30.24967</v>
      </c>
      <c r="C29" s="4">
        <v>5.281115</v>
      </c>
      <c r="D29" s="4">
        <v>28.838591</v>
      </c>
      <c r="E29" s="4">
        <v>3.015799</v>
      </c>
      <c r="F29" s="4">
        <v>0.478497</v>
      </c>
      <c r="G29" s="4">
        <v>1.474498</v>
      </c>
      <c r="H29" s="4">
        <v>23.781302</v>
      </c>
      <c r="I29" s="4">
        <v>0.091878</v>
      </c>
      <c r="J29" s="4">
        <v>0</v>
      </c>
      <c r="K29" s="4">
        <v>0.073635</v>
      </c>
      <c r="L29" s="4">
        <v>0.01015</v>
      </c>
      <c r="M29" s="4">
        <v>0</v>
      </c>
      <c r="N29" s="4">
        <v>6.70241</v>
      </c>
      <c r="O29" s="7">
        <v>0</v>
      </c>
      <c r="P29" s="7">
        <v>0</v>
      </c>
      <c r="Q29" s="4">
        <v>0</v>
      </c>
      <c r="R29" s="4">
        <v>0.002455</v>
      </c>
    </row>
    <row r="30" spans="1:18">
      <c r="A30" s="4" t="s">
        <v>46</v>
      </c>
      <c r="B30" s="4">
        <v>19.55271</v>
      </c>
      <c r="C30" s="4">
        <v>1.694777</v>
      </c>
      <c r="D30" s="4">
        <v>50.367906</v>
      </c>
      <c r="E30" s="4">
        <v>1.719803</v>
      </c>
      <c r="F30" s="4">
        <v>0.106339</v>
      </c>
      <c r="G30" s="4">
        <v>0.58948</v>
      </c>
      <c r="H30" s="4">
        <v>12.995592</v>
      </c>
      <c r="I30" s="4">
        <v>0.071918</v>
      </c>
      <c r="J30" s="4">
        <v>0</v>
      </c>
      <c r="K30" s="4">
        <v>0.043899</v>
      </c>
      <c r="L30" s="4">
        <v>0.016545</v>
      </c>
      <c r="M30" s="4">
        <v>0.072916</v>
      </c>
      <c r="N30" s="4">
        <v>12.763292</v>
      </c>
      <c r="O30" s="7">
        <v>0</v>
      </c>
      <c r="P30" s="7">
        <v>0</v>
      </c>
      <c r="Q30" s="4">
        <v>0</v>
      </c>
      <c r="R30" s="4">
        <v>0.004822</v>
      </c>
    </row>
    <row r="31" spans="1:18">
      <c r="A31" s="4" t="s">
        <v>47</v>
      </c>
      <c r="B31" s="4">
        <v>4.271852</v>
      </c>
      <c r="C31" s="4">
        <v>14.932389</v>
      </c>
      <c r="D31" s="4">
        <v>12.882624</v>
      </c>
      <c r="E31" s="4">
        <v>0.40341</v>
      </c>
      <c r="F31" s="4">
        <v>0.146906</v>
      </c>
      <c r="G31" s="4">
        <v>0.051968</v>
      </c>
      <c r="H31" s="4">
        <v>24.446303</v>
      </c>
      <c r="I31" s="4">
        <v>40.930422</v>
      </c>
      <c r="J31" s="4">
        <v>0</v>
      </c>
      <c r="K31" s="4">
        <v>0.247381</v>
      </c>
      <c r="L31" s="4">
        <v>0</v>
      </c>
      <c r="M31" s="4">
        <v>0.05505</v>
      </c>
      <c r="N31" s="4">
        <v>0.117902</v>
      </c>
      <c r="O31" s="7">
        <v>0</v>
      </c>
      <c r="P31" s="7">
        <v>1.513793</v>
      </c>
      <c r="Q31" s="4">
        <v>0</v>
      </c>
      <c r="R31" s="4">
        <v>0</v>
      </c>
    </row>
    <row r="32" spans="1:18">
      <c r="A32" s="4" t="s">
        <v>48</v>
      </c>
      <c r="B32" s="4">
        <v>64.730252</v>
      </c>
      <c r="C32" s="4">
        <v>17.279298</v>
      </c>
      <c r="D32" s="4">
        <v>4.038573</v>
      </c>
      <c r="E32" s="4">
        <v>1.905245</v>
      </c>
      <c r="F32" s="4">
        <v>3.416581</v>
      </c>
      <c r="G32" s="4">
        <v>3.326801</v>
      </c>
      <c r="H32" s="4">
        <v>2.788934</v>
      </c>
      <c r="I32" s="4">
        <v>0.007642</v>
      </c>
      <c r="J32" s="4">
        <v>0.00205</v>
      </c>
      <c r="K32" s="4">
        <v>0.199068</v>
      </c>
      <c r="L32" s="4">
        <v>0.064616</v>
      </c>
      <c r="M32" s="4">
        <v>0.626901</v>
      </c>
      <c r="N32" s="4">
        <v>0.002112</v>
      </c>
      <c r="O32" s="7">
        <v>0</v>
      </c>
      <c r="P32" s="7">
        <v>1.577691</v>
      </c>
      <c r="Q32" s="4">
        <v>0.031314</v>
      </c>
      <c r="R32" s="4">
        <v>0.00292</v>
      </c>
    </row>
    <row r="33" spans="1:18">
      <c r="A33" s="4" t="s">
        <v>49</v>
      </c>
      <c r="B33" s="4">
        <v>57.219693</v>
      </c>
      <c r="C33" s="4">
        <v>27.682606</v>
      </c>
      <c r="D33" s="4">
        <v>10.336129</v>
      </c>
      <c r="E33" s="4">
        <v>0.115889</v>
      </c>
      <c r="F33" s="4">
        <v>2.082529</v>
      </c>
      <c r="G33" s="4">
        <v>0.253163</v>
      </c>
      <c r="H33" s="4">
        <v>0.987539</v>
      </c>
      <c r="I33" s="4">
        <v>0.015107</v>
      </c>
      <c r="J33" s="4">
        <v>0.014388</v>
      </c>
      <c r="K33" s="4">
        <v>0.16193</v>
      </c>
      <c r="L33" s="4">
        <v>0.050031</v>
      </c>
      <c r="M33" s="4">
        <v>0.85942</v>
      </c>
      <c r="N33" s="4">
        <v>0.004447</v>
      </c>
      <c r="O33" s="7">
        <v>0</v>
      </c>
      <c r="P33" s="7">
        <v>0.147019</v>
      </c>
      <c r="Q33" s="4">
        <v>0.052778</v>
      </c>
      <c r="R33" s="4">
        <v>0.017331</v>
      </c>
    </row>
    <row r="34" spans="1:18">
      <c r="A34" s="4" t="s">
        <v>50</v>
      </c>
      <c r="B34" s="4">
        <v>38.343751</v>
      </c>
      <c r="C34" s="4">
        <v>40.450729</v>
      </c>
      <c r="D34" s="4">
        <v>16.559385</v>
      </c>
      <c r="E34" s="4">
        <v>0.200443</v>
      </c>
      <c r="F34" s="4">
        <v>0.299255</v>
      </c>
      <c r="G34" s="4">
        <v>0.18085</v>
      </c>
      <c r="H34" s="4">
        <v>0.452336</v>
      </c>
      <c r="I34" s="4">
        <v>0.055608</v>
      </c>
      <c r="J34" s="4">
        <v>0.010783</v>
      </c>
      <c r="K34" s="4">
        <v>0.228353</v>
      </c>
      <c r="L34" s="4">
        <v>0.015294</v>
      </c>
      <c r="M34" s="4">
        <v>2.974225</v>
      </c>
      <c r="N34" s="4">
        <v>0.033125</v>
      </c>
      <c r="O34" s="7">
        <v>0</v>
      </c>
      <c r="P34" s="7">
        <v>0.176057</v>
      </c>
      <c r="Q34" s="4">
        <v>0.019311</v>
      </c>
      <c r="R34" s="4">
        <v>0.000493</v>
      </c>
    </row>
    <row r="35" spans="1:18">
      <c r="A35" s="4" t="s">
        <v>51</v>
      </c>
      <c r="B35" s="4">
        <v>3.085974</v>
      </c>
      <c r="C35" s="4">
        <v>9.524287</v>
      </c>
      <c r="D35" s="4">
        <v>66.370448</v>
      </c>
      <c r="E35" s="4">
        <v>1.260456</v>
      </c>
      <c r="F35" s="4">
        <v>0.04597</v>
      </c>
      <c r="G35" s="4">
        <v>0.14657</v>
      </c>
      <c r="H35" s="4">
        <v>5.460316</v>
      </c>
      <c r="I35" s="4">
        <v>0</v>
      </c>
      <c r="J35" s="4">
        <v>0.019341</v>
      </c>
      <c r="K35" s="4">
        <v>0.242984</v>
      </c>
      <c r="L35" s="4">
        <v>0.055207</v>
      </c>
      <c r="M35" s="4">
        <v>11.664594</v>
      </c>
      <c r="N35" s="4">
        <v>0.074981</v>
      </c>
      <c r="O35" s="7">
        <v>0</v>
      </c>
      <c r="P35" s="7">
        <v>2.048872</v>
      </c>
      <c r="Q35" s="4">
        <v>0</v>
      </c>
      <c r="R35" s="4">
        <v>0</v>
      </c>
    </row>
    <row r="36" spans="1:18">
      <c r="A36" s="4" t="s">
        <v>52</v>
      </c>
      <c r="B36" s="4">
        <v>60.961919</v>
      </c>
      <c r="C36" s="4">
        <v>20.201434</v>
      </c>
      <c r="D36" s="4">
        <v>0.13168</v>
      </c>
      <c r="E36" s="4">
        <v>0.749008</v>
      </c>
      <c r="F36" s="4">
        <v>11.267515</v>
      </c>
      <c r="G36" s="4">
        <v>6.581364</v>
      </c>
      <c r="H36" s="4">
        <v>0.073911</v>
      </c>
      <c r="I36" s="4">
        <v>0</v>
      </c>
      <c r="J36" s="4">
        <v>0</v>
      </c>
      <c r="K36" s="4">
        <v>0</v>
      </c>
      <c r="L36" s="4">
        <v>0</v>
      </c>
      <c r="M36" s="4">
        <v>0.033169</v>
      </c>
      <c r="N36" s="4">
        <v>0</v>
      </c>
      <c r="O36" s="7">
        <v>0</v>
      </c>
      <c r="P36" s="7">
        <v>0</v>
      </c>
      <c r="Q36" s="4">
        <v>0</v>
      </c>
      <c r="R36" s="4">
        <v>0</v>
      </c>
    </row>
    <row r="37" spans="1:18">
      <c r="A37" s="4" t="s">
        <v>53</v>
      </c>
      <c r="B37" s="4">
        <v>55.093319</v>
      </c>
      <c r="C37" s="4">
        <v>21.46813</v>
      </c>
      <c r="D37" s="4">
        <v>1.148571</v>
      </c>
      <c r="E37" s="4">
        <v>0.505339</v>
      </c>
      <c r="F37" s="4">
        <v>5.864155</v>
      </c>
      <c r="G37" s="4">
        <v>15.799952</v>
      </c>
      <c r="H37" s="4">
        <v>0</v>
      </c>
      <c r="I37" s="4">
        <v>0</v>
      </c>
      <c r="J37" s="4">
        <v>0</v>
      </c>
      <c r="K37" s="4">
        <v>0.038431</v>
      </c>
      <c r="L37" s="4">
        <v>0</v>
      </c>
      <c r="M37" s="4">
        <v>0.082103</v>
      </c>
      <c r="N37" s="4">
        <v>0</v>
      </c>
      <c r="O37" s="7">
        <v>0</v>
      </c>
      <c r="P37" s="7">
        <v>0</v>
      </c>
      <c r="Q37" s="4">
        <v>0</v>
      </c>
      <c r="R37" s="4">
        <v>0</v>
      </c>
    </row>
    <row r="38" spans="1:18">
      <c r="A38" s="4" t="s">
        <v>54</v>
      </c>
      <c r="B38" s="4">
        <v>55.978924</v>
      </c>
      <c r="C38" s="4">
        <v>0.087029</v>
      </c>
      <c r="D38" s="4">
        <v>0.196128</v>
      </c>
      <c r="E38" s="4">
        <v>0.366662</v>
      </c>
      <c r="F38" s="4">
        <v>0.009706</v>
      </c>
      <c r="G38" s="4">
        <v>0.03774</v>
      </c>
      <c r="H38" s="4">
        <v>42.903954</v>
      </c>
      <c r="I38" s="4">
        <v>0</v>
      </c>
      <c r="J38" s="4">
        <v>0</v>
      </c>
      <c r="K38" s="4">
        <v>0.001084</v>
      </c>
      <c r="L38" s="4">
        <v>0</v>
      </c>
      <c r="M38" s="4">
        <v>0.003416</v>
      </c>
      <c r="N38" s="4">
        <v>0</v>
      </c>
      <c r="O38" s="7">
        <v>0</v>
      </c>
      <c r="P38" s="7">
        <v>0.415356</v>
      </c>
      <c r="Q38" s="4">
        <v>0</v>
      </c>
      <c r="R38" s="4">
        <v>0</v>
      </c>
    </row>
    <row r="39" spans="1:18">
      <c r="A39" s="4" t="s">
        <v>55</v>
      </c>
      <c r="B39" s="4">
        <v>59.776424</v>
      </c>
      <c r="C39" s="4">
        <v>20.339201</v>
      </c>
      <c r="D39" s="4">
        <v>0.065322</v>
      </c>
      <c r="E39" s="4">
        <v>0.452289</v>
      </c>
      <c r="F39" s="4">
        <v>0.109505</v>
      </c>
      <c r="G39" s="4">
        <v>19.202031</v>
      </c>
      <c r="H39" s="4">
        <v>0.019554</v>
      </c>
      <c r="I39" s="4">
        <v>0</v>
      </c>
      <c r="J39" s="4">
        <v>0</v>
      </c>
      <c r="K39" s="4">
        <v>0</v>
      </c>
      <c r="L39" s="4">
        <v>0</v>
      </c>
      <c r="M39" s="4">
        <v>0.035674</v>
      </c>
      <c r="N39" s="4">
        <v>0</v>
      </c>
      <c r="O39" s="7">
        <v>0</v>
      </c>
      <c r="P39" s="7">
        <v>0</v>
      </c>
      <c r="Q39" s="4">
        <v>0</v>
      </c>
      <c r="R39" s="4">
        <v>0</v>
      </c>
    </row>
    <row r="40" spans="1:18">
      <c r="A40" s="4" t="s">
        <v>56</v>
      </c>
      <c r="B40" s="4">
        <v>5.068683</v>
      </c>
      <c r="C40" s="4">
        <v>85.37462</v>
      </c>
      <c r="D40" s="4">
        <v>4.75975</v>
      </c>
      <c r="E40" s="4">
        <v>0.19934</v>
      </c>
      <c r="F40" s="4">
        <v>0.940217</v>
      </c>
      <c r="G40" s="4">
        <v>0.062161</v>
      </c>
      <c r="H40" s="4">
        <v>0.185672</v>
      </c>
      <c r="I40" s="4">
        <v>0</v>
      </c>
      <c r="J40" s="4">
        <v>0</v>
      </c>
      <c r="K40" s="4">
        <v>0.024527</v>
      </c>
      <c r="L40" s="4">
        <v>0</v>
      </c>
      <c r="M40" s="4">
        <v>3.101811</v>
      </c>
      <c r="N40" s="4">
        <v>0</v>
      </c>
      <c r="O40" s="7">
        <v>0</v>
      </c>
      <c r="P40" s="7">
        <v>0.28322</v>
      </c>
      <c r="Q40" s="4">
        <v>0</v>
      </c>
      <c r="R40" s="4">
        <v>0</v>
      </c>
    </row>
    <row r="41" spans="1:18">
      <c r="A41" s="4" t="s">
        <v>57</v>
      </c>
      <c r="B41" s="4">
        <v>39.012632</v>
      </c>
      <c r="C41" s="4">
        <v>14.457943</v>
      </c>
      <c r="D41" s="4">
        <v>8.96396</v>
      </c>
      <c r="E41" s="4">
        <v>1.476113</v>
      </c>
      <c r="F41" s="4">
        <v>3.087334</v>
      </c>
      <c r="G41" s="4">
        <v>0.126528</v>
      </c>
      <c r="H41" s="4">
        <v>1.737302</v>
      </c>
      <c r="I41" s="4">
        <v>0</v>
      </c>
      <c r="J41" s="4">
        <v>0</v>
      </c>
      <c r="K41" s="4">
        <v>31.138187</v>
      </c>
      <c r="L41" s="4">
        <v>0</v>
      </c>
      <c r="M41" s="4">
        <v>0</v>
      </c>
      <c r="N41" s="4">
        <v>0</v>
      </c>
      <c r="O41" s="7">
        <v>0</v>
      </c>
      <c r="P41" s="7">
        <v>0</v>
      </c>
      <c r="Q41" s="4">
        <v>0</v>
      </c>
      <c r="R41" s="4">
        <v>0</v>
      </c>
    </row>
    <row r="42" spans="1:18">
      <c r="A42" s="4" t="s">
        <v>58</v>
      </c>
      <c r="B42" s="4">
        <v>27.410601</v>
      </c>
      <c r="C42" s="4">
        <v>15.493601</v>
      </c>
      <c r="D42" s="4">
        <v>11.39766</v>
      </c>
      <c r="E42" s="4">
        <v>1.392057</v>
      </c>
      <c r="F42" s="4">
        <v>2.618859</v>
      </c>
      <c r="G42" s="4">
        <v>0.164077</v>
      </c>
      <c r="H42" s="4">
        <v>2.259981</v>
      </c>
      <c r="I42" s="4">
        <v>0</v>
      </c>
      <c r="J42" s="4">
        <v>0</v>
      </c>
      <c r="K42" s="4">
        <v>39.263164</v>
      </c>
      <c r="L42" s="4" t="s">
        <v>59</v>
      </c>
      <c r="M42" s="4">
        <v>0</v>
      </c>
      <c r="N42" s="4">
        <v>0</v>
      </c>
      <c r="O42" s="7">
        <v>0</v>
      </c>
      <c r="P42" s="7">
        <v>0</v>
      </c>
      <c r="Q42" s="4">
        <v>0</v>
      </c>
      <c r="R42" s="4">
        <v>0</v>
      </c>
    </row>
    <row r="43" spans="1:18">
      <c r="A43" s="4" t="s">
        <v>60</v>
      </c>
      <c r="B43" s="4">
        <v>0.856013</v>
      </c>
      <c r="C43" s="4">
        <v>18.569641</v>
      </c>
      <c r="D43" s="4">
        <v>23.731064</v>
      </c>
      <c r="E43" s="4">
        <v>0.061442</v>
      </c>
      <c r="F43" s="4">
        <v>0.019351</v>
      </c>
      <c r="G43" s="4">
        <v>0</v>
      </c>
      <c r="H43" s="4">
        <v>15.824445</v>
      </c>
      <c r="I43" s="4">
        <v>40.072453</v>
      </c>
      <c r="J43" s="4">
        <v>0</v>
      </c>
      <c r="K43" s="4">
        <v>0.185042</v>
      </c>
      <c r="L43" s="4">
        <v>0.070759</v>
      </c>
      <c r="M43" s="4">
        <v>0.507692</v>
      </c>
      <c r="N43" s="4">
        <v>0.102099</v>
      </c>
      <c r="O43" s="7">
        <v>0</v>
      </c>
      <c r="P43" s="7">
        <v>0</v>
      </c>
      <c r="Q43" s="4">
        <v>0</v>
      </c>
      <c r="R43" s="4">
        <v>0</v>
      </c>
    </row>
    <row r="44" spans="1:18">
      <c r="A44" s="4" t="s">
        <v>61</v>
      </c>
      <c r="B44" s="4">
        <v>3.261095</v>
      </c>
      <c r="C44" s="4">
        <v>0.444072</v>
      </c>
      <c r="D44" s="4">
        <v>0.281221</v>
      </c>
      <c r="E44" s="4">
        <v>48.8054</v>
      </c>
      <c r="F44" s="4">
        <v>0.051106</v>
      </c>
      <c r="G44" s="4">
        <v>0.03159</v>
      </c>
      <c r="H44" s="4">
        <v>47.092474</v>
      </c>
      <c r="I44" s="4">
        <v>0</v>
      </c>
      <c r="J44" s="4">
        <v>0</v>
      </c>
      <c r="K44" s="4">
        <v>0.019789</v>
      </c>
      <c r="L44" s="4">
        <v>0</v>
      </c>
      <c r="M44" s="4">
        <v>0.013253</v>
      </c>
      <c r="N44" s="4">
        <v>0</v>
      </c>
      <c r="O44" s="7">
        <v>0</v>
      </c>
      <c r="P44" s="7">
        <v>0</v>
      </c>
      <c r="Q44" s="4">
        <v>0</v>
      </c>
      <c r="R44" s="4">
        <v>0</v>
      </c>
    </row>
    <row r="45" spans="1:18">
      <c r="A45" s="4" t="s">
        <v>62</v>
      </c>
      <c r="B45" s="4">
        <v>6.277813</v>
      </c>
      <c r="C45" s="4">
        <v>69.365988</v>
      </c>
      <c r="D45" s="4">
        <v>18.810791</v>
      </c>
      <c r="E45" s="4">
        <v>0.119581</v>
      </c>
      <c r="F45" s="4">
        <v>0.039577</v>
      </c>
      <c r="G45" s="4">
        <v>0.057124</v>
      </c>
      <c r="H45" s="4">
        <v>0.066786</v>
      </c>
      <c r="I45" s="4">
        <v>0.09214</v>
      </c>
      <c r="J45" s="4">
        <v>0</v>
      </c>
      <c r="K45" s="4">
        <v>0.029528</v>
      </c>
      <c r="L45" s="4">
        <v>0.002164</v>
      </c>
      <c r="M45" s="4">
        <v>3.832083</v>
      </c>
      <c r="N45" s="4">
        <v>0</v>
      </c>
      <c r="O45" s="7">
        <v>0</v>
      </c>
      <c r="P45" s="7">
        <v>1.306425</v>
      </c>
      <c r="Q45" s="4">
        <v>0</v>
      </c>
      <c r="R45" s="4">
        <v>0</v>
      </c>
    </row>
    <row r="48" spans="1:18">
      <c r="A48" s="4" t="s">
        <v>18</v>
      </c>
      <c r="B48" s="9">
        <v>65.583706</v>
      </c>
      <c r="C48" s="5">
        <v>17.300343</v>
      </c>
      <c r="D48" s="5">
        <v>5.24173</v>
      </c>
      <c r="E48" s="5">
        <v>1.69487</v>
      </c>
      <c r="F48" s="6">
        <v>5.112881</v>
      </c>
      <c r="G48" s="4">
        <v>1.371245</v>
      </c>
      <c r="H48" s="5">
        <v>2.406168</v>
      </c>
      <c r="I48" s="4">
        <v>0</v>
      </c>
      <c r="J48" s="6">
        <v>0.259825</v>
      </c>
      <c r="K48" s="5">
        <v>0.10358</v>
      </c>
      <c r="L48" s="5">
        <v>0.79405</v>
      </c>
      <c r="M48" s="4">
        <v>0</v>
      </c>
      <c r="N48" s="4">
        <v>0</v>
      </c>
      <c r="O48" s="7">
        <v>0.001814</v>
      </c>
      <c r="P48" s="7">
        <v>0</v>
      </c>
      <c r="Q48" s="4">
        <v>0</v>
      </c>
      <c r="R48" s="4">
        <v>0.129788</v>
      </c>
    </row>
    <row r="49" spans="1:32">
      <c r="B49">
        <f>B48*0.98</f>
        <v>64.27203188</v>
      </c>
      <c r="C49">
        <f t="shared" ref="C49:R49" si="0">C48*0.98</f>
        <v>16.95433614</v>
      </c>
      <c r="D49">
        <f t="shared" si="0"/>
        <v>5.1368954</v>
      </c>
      <c r="E49">
        <f t="shared" si="0"/>
        <v>1.6609726</v>
      </c>
      <c r="F49">
        <f t="shared" si="0"/>
        <v>5.01062338</v>
      </c>
      <c r="G49">
        <f t="shared" si="0"/>
        <v>1.3438201</v>
      </c>
      <c r="H49">
        <f t="shared" si="0"/>
        <v>2.35804464</v>
      </c>
      <c r="I49">
        <f t="shared" si="0"/>
        <v>0</v>
      </c>
      <c r="J49">
        <f t="shared" si="0"/>
        <v>0.2546285</v>
      </c>
      <c r="K49">
        <f t="shared" si="0"/>
        <v>0.1015084</v>
      </c>
      <c r="L49">
        <f t="shared" si="0"/>
        <v>0.778169</v>
      </c>
      <c r="M49">
        <f t="shared" si="0"/>
        <v>0</v>
      </c>
      <c r="N49">
        <f t="shared" si="0"/>
        <v>0</v>
      </c>
      <c r="O49">
        <f t="shared" si="0"/>
        <v>0.00177772</v>
      </c>
      <c r="P49">
        <f t="shared" si="0"/>
        <v>0</v>
      </c>
      <c r="Q49">
        <f t="shared" si="0"/>
        <v>0</v>
      </c>
      <c r="R49">
        <f t="shared" si="0"/>
        <v>0.12719224</v>
      </c>
    </row>
    <row r="50" spans="1:32">
      <c r="B50">
        <f>B48*0.95</f>
        <v>62.3045207</v>
      </c>
      <c r="C50">
        <f t="shared" ref="C50:R50" si="1">C48*0.95</f>
        <v>16.43532585</v>
      </c>
      <c r="D50">
        <f t="shared" si="1"/>
        <v>4.9796435</v>
      </c>
      <c r="E50">
        <f t="shared" si="1"/>
        <v>1.6101265</v>
      </c>
      <c r="F50">
        <f t="shared" si="1"/>
        <v>4.85723695</v>
      </c>
      <c r="G50">
        <f t="shared" si="1"/>
        <v>1.30268275</v>
      </c>
      <c r="H50">
        <f t="shared" si="1"/>
        <v>2.2858596</v>
      </c>
      <c r="I50">
        <f t="shared" si="1"/>
        <v>0</v>
      </c>
      <c r="J50">
        <f t="shared" si="1"/>
        <v>0.24683375</v>
      </c>
      <c r="K50">
        <f t="shared" si="1"/>
        <v>0.098401</v>
      </c>
      <c r="L50">
        <f t="shared" si="1"/>
        <v>0.7543475</v>
      </c>
      <c r="M50">
        <f t="shared" si="1"/>
        <v>0</v>
      </c>
      <c r="N50">
        <f t="shared" si="1"/>
        <v>0</v>
      </c>
      <c r="O50">
        <f t="shared" si="1"/>
        <v>0.0017233</v>
      </c>
      <c r="P50">
        <f t="shared" si="1"/>
        <v>0</v>
      </c>
      <c r="Q50">
        <f t="shared" si="1"/>
        <v>0</v>
      </c>
      <c r="R50">
        <f t="shared" si="1"/>
        <v>0.1232986</v>
      </c>
    </row>
    <row r="51" spans="1:32">
      <c r="B51">
        <f>B48*0.9</f>
        <v>59.0253354</v>
      </c>
      <c r="C51">
        <f t="shared" ref="C51:R51" si="2">C48*0.9</f>
        <v>15.5703087</v>
      </c>
      <c r="D51">
        <f t="shared" si="2"/>
        <v>4.717557</v>
      </c>
      <c r="E51">
        <f t="shared" si="2"/>
        <v>1.525383</v>
      </c>
      <c r="F51">
        <f t="shared" si="2"/>
        <v>4.6015929</v>
      </c>
      <c r="G51">
        <f t="shared" si="2"/>
        <v>1.2341205</v>
      </c>
      <c r="H51">
        <f t="shared" si="2"/>
        <v>2.1655512</v>
      </c>
      <c r="I51">
        <f t="shared" si="2"/>
        <v>0</v>
      </c>
      <c r="J51">
        <f t="shared" si="2"/>
        <v>0.2338425</v>
      </c>
      <c r="K51">
        <f t="shared" si="2"/>
        <v>0.093222</v>
      </c>
      <c r="L51">
        <f t="shared" si="2"/>
        <v>0.714645</v>
      </c>
      <c r="M51">
        <f t="shared" si="2"/>
        <v>0</v>
      </c>
      <c r="N51">
        <f t="shared" si="2"/>
        <v>0</v>
      </c>
      <c r="O51">
        <f t="shared" si="2"/>
        <v>0.0016326</v>
      </c>
      <c r="P51">
        <f t="shared" si="2"/>
        <v>0</v>
      </c>
      <c r="Q51">
        <f t="shared" si="2"/>
        <v>0</v>
      </c>
      <c r="R51">
        <f t="shared" si="2"/>
        <v>0.1168092</v>
      </c>
    </row>
    <row r="54" spans="1:32">
      <c r="A54" s="4" t="s">
        <v>21</v>
      </c>
      <c r="B54" s="5">
        <v>22.72825</v>
      </c>
      <c r="C54" s="5">
        <v>4.74963</v>
      </c>
      <c r="D54" s="10">
        <v>33.997156</v>
      </c>
      <c r="E54" s="5">
        <v>11.229094</v>
      </c>
      <c r="F54" s="4">
        <v>1.605457</v>
      </c>
      <c r="G54" s="4">
        <v>0.092701</v>
      </c>
      <c r="H54" s="5">
        <v>1.418796</v>
      </c>
      <c r="I54" s="4">
        <v>0</v>
      </c>
      <c r="J54" s="4">
        <v>0.146365</v>
      </c>
      <c r="K54" s="4">
        <v>1.040244</v>
      </c>
      <c r="L54" s="5">
        <v>20.594002</v>
      </c>
      <c r="M54" s="4">
        <v>0</v>
      </c>
      <c r="N54" s="4">
        <v>0</v>
      </c>
      <c r="O54" s="7">
        <v>0</v>
      </c>
      <c r="P54" s="7">
        <v>0</v>
      </c>
      <c r="Q54" s="4">
        <v>0</v>
      </c>
      <c r="R54" s="4">
        <v>2.398305</v>
      </c>
    </row>
    <row r="55" spans="1:32">
      <c r="B55">
        <f>B54*0.95</f>
        <v>21.5918375</v>
      </c>
      <c r="C55">
        <f t="shared" ref="C55:R55" si="3">C54*0.95</f>
        <v>4.5121485</v>
      </c>
      <c r="D55">
        <f t="shared" si="3"/>
        <v>32.2972982</v>
      </c>
      <c r="E55">
        <f t="shared" si="3"/>
        <v>10.6676393</v>
      </c>
      <c r="F55">
        <f t="shared" si="3"/>
        <v>1.52518415</v>
      </c>
      <c r="G55">
        <f t="shared" si="3"/>
        <v>0.08806595</v>
      </c>
      <c r="H55">
        <f t="shared" si="3"/>
        <v>1.3478562</v>
      </c>
      <c r="I55">
        <f t="shared" si="3"/>
        <v>0</v>
      </c>
      <c r="J55">
        <f t="shared" si="3"/>
        <v>0.13904675</v>
      </c>
      <c r="K55">
        <f t="shared" si="3"/>
        <v>0.9882318</v>
      </c>
      <c r="L55">
        <f t="shared" si="3"/>
        <v>19.5643019</v>
      </c>
      <c r="M55">
        <f t="shared" si="3"/>
        <v>0</v>
      </c>
      <c r="N55">
        <f t="shared" si="3"/>
        <v>0</v>
      </c>
      <c r="O55">
        <f t="shared" si="3"/>
        <v>0</v>
      </c>
      <c r="P55">
        <f t="shared" si="3"/>
        <v>0</v>
      </c>
      <c r="Q55">
        <f t="shared" si="3"/>
        <v>0</v>
      </c>
      <c r="R55">
        <f t="shared" si="3"/>
        <v>2.27838975</v>
      </c>
    </row>
    <row r="57" spans="1:32">
      <c r="A57" s="4" t="s">
        <v>23</v>
      </c>
      <c r="B57" s="5">
        <v>5.297589</v>
      </c>
      <c r="C57" s="5">
        <v>1.099273</v>
      </c>
      <c r="D57" s="5">
        <v>11.237672</v>
      </c>
      <c r="E57" s="5">
        <v>1.681074</v>
      </c>
      <c r="F57" s="4">
        <v>0.374281</v>
      </c>
      <c r="G57" s="4">
        <v>0</v>
      </c>
      <c r="H57" s="6">
        <v>0.206046</v>
      </c>
      <c r="I57" s="4">
        <v>0</v>
      </c>
      <c r="J57" s="4">
        <v>0.213314</v>
      </c>
      <c r="K57" s="4">
        <v>0.044686</v>
      </c>
      <c r="L57" s="10">
        <v>79.163499</v>
      </c>
      <c r="M57" s="4">
        <v>0</v>
      </c>
      <c r="N57" s="4">
        <v>0</v>
      </c>
      <c r="O57" s="7">
        <v>0</v>
      </c>
      <c r="P57" s="7">
        <v>0</v>
      </c>
      <c r="Q57" s="4">
        <v>0</v>
      </c>
      <c r="R57" s="4">
        <v>0.682565</v>
      </c>
    </row>
    <row r="58" spans="1:32">
      <c r="B58">
        <f>B57*0.95</f>
        <v>5.03270955</v>
      </c>
      <c r="C58">
        <f t="shared" ref="C58:R58" si="4">C57*0.95</f>
        <v>1.04430935</v>
      </c>
      <c r="D58">
        <f t="shared" si="4"/>
        <v>10.6757884</v>
      </c>
      <c r="E58">
        <f t="shared" si="4"/>
        <v>1.5970203</v>
      </c>
      <c r="F58">
        <f t="shared" si="4"/>
        <v>0.35556695</v>
      </c>
      <c r="G58">
        <f t="shared" si="4"/>
        <v>0</v>
      </c>
      <c r="H58">
        <f t="shared" si="4"/>
        <v>0.1957437</v>
      </c>
      <c r="I58">
        <f t="shared" si="4"/>
        <v>0</v>
      </c>
      <c r="J58">
        <f t="shared" si="4"/>
        <v>0.2026483</v>
      </c>
      <c r="K58">
        <f t="shared" si="4"/>
        <v>0.0424517</v>
      </c>
      <c r="L58">
        <f t="shared" si="4"/>
        <v>75.20532405</v>
      </c>
      <c r="M58">
        <f t="shared" si="4"/>
        <v>0</v>
      </c>
      <c r="N58">
        <f t="shared" si="4"/>
        <v>0</v>
      </c>
      <c r="O58">
        <f t="shared" si="4"/>
        <v>0</v>
      </c>
      <c r="P58">
        <f t="shared" si="4"/>
        <v>0</v>
      </c>
      <c r="Q58">
        <f t="shared" si="4"/>
        <v>0</v>
      </c>
      <c r="R58">
        <f t="shared" si="4"/>
        <v>0.64843675</v>
      </c>
    </row>
    <row r="60" spans="1:32">
      <c r="A60" s="4" t="s">
        <v>24</v>
      </c>
      <c r="B60" s="5">
        <v>12.478375</v>
      </c>
      <c r="C60" s="5">
        <v>13.660996</v>
      </c>
      <c r="D60" s="5">
        <v>9.083909</v>
      </c>
      <c r="E60" s="5">
        <v>0.348507</v>
      </c>
      <c r="F60" s="4">
        <v>0.032897</v>
      </c>
      <c r="G60" s="4">
        <v>0.143899</v>
      </c>
      <c r="H60" s="10">
        <v>35.442712</v>
      </c>
      <c r="I60" s="10">
        <v>27.762265</v>
      </c>
      <c r="J60" s="4">
        <v>0</v>
      </c>
      <c r="K60" s="4">
        <v>0.100344</v>
      </c>
      <c r="L60" s="4">
        <v>0</v>
      </c>
      <c r="M60" s="4">
        <v>0.127972</v>
      </c>
      <c r="N60" s="4">
        <v>0.180594</v>
      </c>
      <c r="O60" s="7">
        <v>0</v>
      </c>
      <c r="P60" s="7">
        <v>0.637531</v>
      </c>
      <c r="Q60" s="4">
        <v>0</v>
      </c>
      <c r="R60" s="4">
        <v>0</v>
      </c>
    </row>
    <row r="61" spans="1:32">
      <c r="B61">
        <f>B60*0.95</f>
        <v>11.85445625</v>
      </c>
      <c r="C61">
        <f>C60*0.95</f>
        <v>12.9779462</v>
      </c>
      <c r="D61">
        <f>D60*0.95</f>
        <v>8.62971355</v>
      </c>
      <c r="E61">
        <f>E60*0.95</f>
        <v>0.33108165</v>
      </c>
      <c r="F61">
        <f t="shared" ref="F61:R61" si="5">F60*0.95</f>
        <v>0.03125215</v>
      </c>
      <c r="G61">
        <f t="shared" si="5"/>
        <v>0.13670405</v>
      </c>
      <c r="H61">
        <f t="shared" si="5"/>
        <v>33.6705764</v>
      </c>
      <c r="I61">
        <f t="shared" si="5"/>
        <v>26.37415175</v>
      </c>
      <c r="J61">
        <f t="shared" si="5"/>
        <v>0</v>
      </c>
      <c r="K61">
        <f t="shared" si="5"/>
        <v>0.0953268</v>
      </c>
      <c r="L61">
        <f t="shared" si="5"/>
        <v>0</v>
      </c>
      <c r="M61">
        <f t="shared" si="5"/>
        <v>0.1215734</v>
      </c>
      <c r="N61">
        <f t="shared" si="5"/>
        <v>0.1715643</v>
      </c>
      <c r="O61">
        <f t="shared" si="5"/>
        <v>0</v>
      </c>
      <c r="P61">
        <f t="shared" si="5"/>
        <v>0.60565445</v>
      </c>
      <c r="Q61">
        <f t="shared" si="5"/>
        <v>0</v>
      </c>
      <c r="R61">
        <f t="shared" si="5"/>
        <v>0</v>
      </c>
      <c r="AE61" s="1"/>
      <c r="AF61" s="1"/>
    </row>
    <row r="63" spans="1:32">
      <c r="A63" s="4" t="s">
        <v>58</v>
      </c>
      <c r="B63" s="4">
        <v>27.410601</v>
      </c>
      <c r="C63" s="4">
        <v>15.493601</v>
      </c>
      <c r="D63" s="4">
        <v>11.39766</v>
      </c>
      <c r="E63" s="4">
        <v>1.392057</v>
      </c>
      <c r="F63" s="4">
        <v>2.618859</v>
      </c>
      <c r="G63" s="4">
        <v>0.164077</v>
      </c>
      <c r="H63" s="4">
        <v>2.259981</v>
      </c>
      <c r="I63" s="4">
        <v>0</v>
      </c>
      <c r="J63" s="4">
        <v>0</v>
      </c>
      <c r="K63" s="10">
        <v>39.263164</v>
      </c>
      <c r="L63" s="4" t="s">
        <v>59</v>
      </c>
      <c r="M63" s="4">
        <v>0</v>
      </c>
      <c r="N63" s="4">
        <v>0</v>
      </c>
      <c r="O63" s="7">
        <v>0</v>
      </c>
      <c r="P63" s="7">
        <v>0</v>
      </c>
      <c r="Q63" s="4">
        <v>0</v>
      </c>
      <c r="R63" s="4">
        <v>0</v>
      </c>
    </row>
    <row r="64" spans="1:32">
      <c r="B64">
        <f>B63*0.95</f>
        <v>26.04007095</v>
      </c>
      <c r="C64">
        <f t="shared" ref="C64:R64" si="6">C63*0.95</f>
        <v>14.71892095</v>
      </c>
      <c r="D64">
        <f t="shared" si="6"/>
        <v>10.827777</v>
      </c>
      <c r="E64">
        <f t="shared" si="6"/>
        <v>1.32245415</v>
      </c>
      <c r="F64">
        <f t="shared" si="6"/>
        <v>2.48791605</v>
      </c>
      <c r="G64">
        <f t="shared" si="6"/>
        <v>0.15587315</v>
      </c>
      <c r="H64">
        <f t="shared" si="6"/>
        <v>2.14698195</v>
      </c>
      <c r="I64">
        <f t="shared" si="6"/>
        <v>0</v>
      </c>
      <c r="J64">
        <f t="shared" si="6"/>
        <v>0</v>
      </c>
      <c r="K64">
        <f t="shared" si="6"/>
        <v>37.3000058</v>
      </c>
      <c r="L64" t="e">
        <f t="shared" si="6"/>
        <v>#VALUE!</v>
      </c>
      <c r="M64">
        <f t="shared" si="6"/>
        <v>0</v>
      </c>
      <c r="N64">
        <f t="shared" si="6"/>
        <v>0</v>
      </c>
      <c r="O64">
        <f t="shared" si="6"/>
        <v>0</v>
      </c>
      <c r="P64">
        <f t="shared" si="6"/>
        <v>0</v>
      </c>
      <c r="Q64">
        <f t="shared" si="6"/>
        <v>0</v>
      </c>
      <c r="R64">
        <f t="shared" si="6"/>
        <v>0</v>
      </c>
    </row>
    <row r="66" spans="1:22">
      <c r="A66" s="4" t="s">
        <v>56</v>
      </c>
      <c r="B66" s="4">
        <v>5.068683</v>
      </c>
      <c r="C66" s="10">
        <v>85.37462</v>
      </c>
      <c r="D66" s="4">
        <v>4.75975</v>
      </c>
      <c r="E66" s="4">
        <v>0.19934</v>
      </c>
      <c r="F66" s="4">
        <v>0.940217</v>
      </c>
      <c r="G66" s="4">
        <v>0.062161</v>
      </c>
      <c r="H66" s="4">
        <v>0.185672</v>
      </c>
      <c r="I66" s="4">
        <v>0</v>
      </c>
      <c r="J66" s="4">
        <v>0</v>
      </c>
      <c r="K66" s="4">
        <v>0.024527</v>
      </c>
      <c r="L66" s="4">
        <v>0</v>
      </c>
      <c r="M66" s="4">
        <v>3.101811</v>
      </c>
      <c r="N66" s="4">
        <v>0</v>
      </c>
      <c r="O66" s="7">
        <v>0</v>
      </c>
      <c r="P66" s="7">
        <v>0.28322</v>
      </c>
      <c r="Q66" s="4">
        <v>0</v>
      </c>
      <c r="R66" s="4">
        <v>0</v>
      </c>
    </row>
    <row r="67" spans="1:22">
      <c r="B67">
        <f>B66*0.954</f>
        <v>4.835523582</v>
      </c>
      <c r="C67">
        <f t="shared" ref="C67:R67" si="7">C66*0.954</f>
        <v>81.44738748</v>
      </c>
      <c r="D67">
        <f t="shared" si="7"/>
        <v>4.5408015</v>
      </c>
      <c r="E67">
        <f t="shared" si="7"/>
        <v>0.19017036</v>
      </c>
      <c r="F67">
        <f t="shared" si="7"/>
        <v>0.896967018</v>
      </c>
      <c r="G67">
        <f t="shared" si="7"/>
        <v>0.059301594</v>
      </c>
      <c r="H67">
        <f t="shared" si="7"/>
        <v>0.177131088</v>
      </c>
      <c r="I67">
        <f t="shared" si="7"/>
        <v>0</v>
      </c>
      <c r="J67">
        <f t="shared" si="7"/>
        <v>0</v>
      </c>
      <c r="K67">
        <f t="shared" si="7"/>
        <v>0.023398758</v>
      </c>
      <c r="L67">
        <f t="shared" si="7"/>
        <v>0</v>
      </c>
      <c r="M67">
        <f t="shared" si="7"/>
        <v>2.959127694</v>
      </c>
      <c r="N67">
        <f t="shared" si="7"/>
        <v>0</v>
      </c>
      <c r="O67">
        <f t="shared" si="7"/>
        <v>0</v>
      </c>
      <c r="P67">
        <f t="shared" si="7"/>
        <v>0.27019188</v>
      </c>
      <c r="Q67">
        <f t="shared" si="7"/>
        <v>0</v>
      </c>
      <c r="R67">
        <f t="shared" si="7"/>
        <v>0</v>
      </c>
      <c r="U67" s="1"/>
      <c r="V67" s="1"/>
    </row>
    <row r="69" spans="1:22">
      <c r="A69" s="4" t="s">
        <v>40</v>
      </c>
      <c r="B69" s="4">
        <v>0.251166</v>
      </c>
      <c r="C69" s="4">
        <v>0.147526</v>
      </c>
      <c r="D69" s="4">
        <v>0.044187</v>
      </c>
      <c r="E69" s="10">
        <v>49.856404</v>
      </c>
      <c r="F69" s="4">
        <v>0.011588</v>
      </c>
      <c r="G69" s="4">
        <v>0.021917</v>
      </c>
      <c r="H69" s="4">
        <v>0.298528</v>
      </c>
      <c r="I69" s="4">
        <v>0.000302</v>
      </c>
      <c r="J69" s="4">
        <v>0.000151</v>
      </c>
      <c r="K69" s="4">
        <v>0.021111</v>
      </c>
      <c r="L69" s="4">
        <v>0.000453</v>
      </c>
      <c r="M69" s="4">
        <v>0.004232</v>
      </c>
      <c r="N69" s="4">
        <v>0.000353</v>
      </c>
      <c r="O69" s="7">
        <v>0</v>
      </c>
      <c r="P69" s="10">
        <v>49.339914</v>
      </c>
      <c r="Q69" s="4">
        <v>0.002167</v>
      </c>
      <c r="R69" s="4">
        <v>0</v>
      </c>
    </row>
    <row r="70" spans="1:22">
      <c r="B70">
        <f>B69*0.95</f>
        <v>0.2386077</v>
      </c>
      <c r="C70">
        <f t="shared" ref="C70:R70" si="8">C69*0.95</f>
        <v>0.1401497</v>
      </c>
      <c r="D70">
        <f t="shared" si="8"/>
        <v>0.04197765</v>
      </c>
      <c r="E70">
        <f t="shared" si="8"/>
        <v>47.3635838</v>
      </c>
      <c r="F70">
        <f t="shared" si="8"/>
        <v>0.0110086</v>
      </c>
      <c r="G70">
        <f t="shared" si="8"/>
        <v>0.02082115</v>
      </c>
      <c r="H70">
        <f t="shared" si="8"/>
        <v>0.2836016</v>
      </c>
      <c r="I70">
        <f t="shared" si="8"/>
        <v>0.0002869</v>
      </c>
      <c r="J70">
        <f t="shared" si="8"/>
        <v>0.00014345</v>
      </c>
      <c r="K70">
        <f t="shared" si="8"/>
        <v>0.02005545</v>
      </c>
      <c r="L70">
        <f t="shared" si="8"/>
        <v>0.00043035</v>
      </c>
      <c r="M70">
        <f t="shared" si="8"/>
        <v>0.0040204</v>
      </c>
      <c r="N70">
        <f t="shared" si="8"/>
        <v>0.00033535</v>
      </c>
      <c r="O70">
        <f t="shared" si="8"/>
        <v>0</v>
      </c>
      <c r="P70">
        <f t="shared" si="8"/>
        <v>46.8729183</v>
      </c>
      <c r="Q70">
        <f t="shared" si="8"/>
        <v>0.00205865</v>
      </c>
      <c r="R70">
        <f t="shared" si="8"/>
        <v>0</v>
      </c>
    </row>
    <row r="72" spans="1:22">
      <c r="A72" s="4" t="s">
        <v>52</v>
      </c>
      <c r="B72" s="10">
        <v>60.961919</v>
      </c>
      <c r="C72" s="10">
        <v>20.201434</v>
      </c>
      <c r="D72" s="4">
        <v>0.13168</v>
      </c>
      <c r="E72" s="4">
        <v>0.749008</v>
      </c>
      <c r="F72" s="10">
        <v>11.267515</v>
      </c>
      <c r="G72" s="4">
        <v>6.581364</v>
      </c>
      <c r="H72" s="4">
        <v>0.073911</v>
      </c>
      <c r="I72" s="4">
        <v>0</v>
      </c>
      <c r="J72" s="4">
        <v>0</v>
      </c>
      <c r="K72" s="4">
        <v>0</v>
      </c>
      <c r="L72" s="4">
        <v>0</v>
      </c>
      <c r="M72" s="4">
        <v>0.033169</v>
      </c>
      <c r="N72" s="4">
        <v>0</v>
      </c>
      <c r="O72" s="7">
        <v>0</v>
      </c>
      <c r="P72" s="7">
        <v>0</v>
      </c>
      <c r="Q72" s="4">
        <v>0</v>
      </c>
      <c r="R72" s="4">
        <v>0</v>
      </c>
    </row>
    <row r="73" spans="1:22">
      <c r="B73">
        <f>B72*0.95</f>
        <v>57.91382305</v>
      </c>
      <c r="C73">
        <f t="shared" ref="C73:R73" si="9">C72*0.95</f>
        <v>19.1913623</v>
      </c>
      <c r="D73">
        <f t="shared" si="9"/>
        <v>0.125096</v>
      </c>
      <c r="E73">
        <f t="shared" si="9"/>
        <v>0.7115576</v>
      </c>
      <c r="F73">
        <f t="shared" si="9"/>
        <v>10.70413925</v>
      </c>
      <c r="G73">
        <f t="shared" si="9"/>
        <v>6.2522958</v>
      </c>
      <c r="H73">
        <f t="shared" si="9"/>
        <v>0.07021545</v>
      </c>
      <c r="I73">
        <f t="shared" si="9"/>
        <v>0</v>
      </c>
      <c r="J73">
        <f t="shared" si="9"/>
        <v>0</v>
      </c>
      <c r="K73">
        <f t="shared" si="9"/>
        <v>0</v>
      </c>
      <c r="L73">
        <f t="shared" si="9"/>
        <v>0</v>
      </c>
      <c r="M73">
        <f t="shared" si="9"/>
        <v>0.03151055</v>
      </c>
      <c r="N73">
        <f t="shared" si="9"/>
        <v>0</v>
      </c>
      <c r="O73">
        <f t="shared" si="9"/>
        <v>0</v>
      </c>
      <c r="P73">
        <f t="shared" si="9"/>
        <v>0</v>
      </c>
      <c r="Q73">
        <f t="shared" si="9"/>
        <v>0</v>
      </c>
      <c r="R73">
        <f t="shared" si="9"/>
        <v>0</v>
      </c>
    </row>
    <row r="74" spans="1:22">
      <c r="B74">
        <f>B72*0.98</f>
        <v>59.74268062</v>
      </c>
      <c r="C74">
        <f t="shared" ref="C74:R74" si="10">C72*0.98</f>
        <v>19.79740532</v>
      </c>
      <c r="D74">
        <f t="shared" si="10"/>
        <v>0.1290464</v>
      </c>
      <c r="E74">
        <f t="shared" si="10"/>
        <v>0.73402784</v>
      </c>
      <c r="F74">
        <f t="shared" si="10"/>
        <v>11.0421647</v>
      </c>
      <c r="G74">
        <f t="shared" si="10"/>
        <v>6.44973672</v>
      </c>
      <c r="H74">
        <f t="shared" si="10"/>
        <v>0.07243278</v>
      </c>
      <c r="I74">
        <f t="shared" si="10"/>
        <v>0</v>
      </c>
      <c r="J74">
        <f t="shared" si="10"/>
        <v>0</v>
      </c>
      <c r="K74">
        <f t="shared" si="10"/>
        <v>0</v>
      </c>
      <c r="L74">
        <f t="shared" si="10"/>
        <v>0</v>
      </c>
      <c r="M74">
        <f t="shared" si="10"/>
        <v>0.03250562</v>
      </c>
      <c r="N74">
        <f t="shared" si="10"/>
        <v>0</v>
      </c>
      <c r="O74">
        <f t="shared" si="10"/>
        <v>0</v>
      </c>
      <c r="P74">
        <f t="shared" si="10"/>
        <v>0</v>
      </c>
      <c r="Q74">
        <f t="shared" si="10"/>
        <v>0</v>
      </c>
      <c r="R74">
        <f t="shared" si="10"/>
        <v>0</v>
      </c>
    </row>
    <row r="75" spans="1:22">
      <c r="A75" s="4" t="s">
        <v>55</v>
      </c>
      <c r="B75" s="10">
        <v>59.776424</v>
      </c>
      <c r="C75" s="10">
        <v>20.339201</v>
      </c>
      <c r="D75" s="4">
        <v>0.065322</v>
      </c>
      <c r="E75" s="4">
        <v>0.452289</v>
      </c>
      <c r="F75" s="4">
        <v>0.109505</v>
      </c>
      <c r="G75" s="10">
        <v>19.202031</v>
      </c>
      <c r="H75" s="4">
        <v>0.019554</v>
      </c>
      <c r="I75" s="4">
        <v>0</v>
      </c>
      <c r="J75" s="4">
        <v>0</v>
      </c>
      <c r="K75" s="4">
        <v>0</v>
      </c>
      <c r="L75" s="4">
        <v>0</v>
      </c>
      <c r="M75" s="4">
        <v>0.035674</v>
      </c>
      <c r="N75" s="4">
        <v>0</v>
      </c>
      <c r="O75" s="7">
        <v>0</v>
      </c>
      <c r="P75" s="7">
        <v>0</v>
      </c>
      <c r="Q75" s="4">
        <v>0</v>
      </c>
      <c r="R75" s="4">
        <v>0</v>
      </c>
    </row>
    <row r="76" spans="1:22">
      <c r="B76">
        <f>B75*0.95</f>
        <v>56.7876028</v>
      </c>
      <c r="C76">
        <f t="shared" ref="C76:R76" si="11">C75*0.95</f>
        <v>19.32224095</v>
      </c>
      <c r="D76">
        <f t="shared" si="11"/>
        <v>0.0620559</v>
      </c>
      <c r="E76">
        <f t="shared" si="11"/>
        <v>0.42967455</v>
      </c>
      <c r="F76">
        <f t="shared" si="11"/>
        <v>0.10402975</v>
      </c>
      <c r="G76">
        <f t="shared" si="11"/>
        <v>18.24192945</v>
      </c>
      <c r="H76">
        <f t="shared" si="11"/>
        <v>0.0185763</v>
      </c>
      <c r="I76">
        <f t="shared" si="11"/>
        <v>0</v>
      </c>
      <c r="J76">
        <f t="shared" si="11"/>
        <v>0</v>
      </c>
      <c r="K76">
        <f t="shared" si="11"/>
        <v>0</v>
      </c>
      <c r="L76">
        <f t="shared" si="11"/>
        <v>0</v>
      </c>
      <c r="M76">
        <f t="shared" si="11"/>
        <v>0.0338903</v>
      </c>
      <c r="N76">
        <f t="shared" si="11"/>
        <v>0</v>
      </c>
      <c r="O76">
        <f t="shared" si="11"/>
        <v>0</v>
      </c>
      <c r="P76">
        <f t="shared" si="11"/>
        <v>0</v>
      </c>
      <c r="Q76">
        <f t="shared" si="11"/>
        <v>0</v>
      </c>
      <c r="R76">
        <f t="shared" si="11"/>
        <v>0</v>
      </c>
    </row>
    <row r="77" spans="1:22">
      <c r="B77">
        <f>B75*0.98</f>
        <v>58.58089552</v>
      </c>
      <c r="C77">
        <f t="shared" ref="C77:R77" si="12">C75*0.98</f>
        <v>19.93241698</v>
      </c>
      <c r="D77">
        <f t="shared" si="12"/>
        <v>0.06401556</v>
      </c>
      <c r="E77">
        <f t="shared" si="12"/>
        <v>0.44324322</v>
      </c>
      <c r="F77">
        <f t="shared" si="12"/>
        <v>0.1073149</v>
      </c>
      <c r="G77">
        <f t="shared" si="12"/>
        <v>18.81799038</v>
      </c>
      <c r="H77">
        <f t="shared" si="12"/>
        <v>0.01916292</v>
      </c>
      <c r="I77">
        <f t="shared" si="12"/>
        <v>0</v>
      </c>
      <c r="J77">
        <f t="shared" si="12"/>
        <v>0</v>
      </c>
      <c r="K77">
        <f t="shared" si="12"/>
        <v>0</v>
      </c>
      <c r="L77">
        <f t="shared" si="12"/>
        <v>0</v>
      </c>
      <c r="M77">
        <f t="shared" si="12"/>
        <v>0.03496052</v>
      </c>
      <c r="N77">
        <f t="shared" si="12"/>
        <v>0</v>
      </c>
      <c r="O77">
        <f t="shared" si="12"/>
        <v>0</v>
      </c>
      <c r="P77">
        <f t="shared" si="12"/>
        <v>0</v>
      </c>
      <c r="Q77">
        <f t="shared" si="12"/>
        <v>0</v>
      </c>
      <c r="R77">
        <f t="shared" si="12"/>
        <v>0</v>
      </c>
    </row>
    <row r="78" spans="1:22">
      <c r="A78" s="4" t="s">
        <v>60</v>
      </c>
      <c r="B78" s="4">
        <v>0.856013</v>
      </c>
      <c r="C78" s="10">
        <v>18.569641</v>
      </c>
      <c r="D78" s="10">
        <v>23.731064</v>
      </c>
      <c r="E78" s="4">
        <v>0.061442</v>
      </c>
      <c r="F78" s="4">
        <v>0.019351</v>
      </c>
      <c r="G78" s="4">
        <v>0</v>
      </c>
      <c r="H78" s="10">
        <v>15.824445</v>
      </c>
      <c r="I78" s="10">
        <v>40.072453</v>
      </c>
      <c r="J78" s="4">
        <v>0</v>
      </c>
      <c r="K78" s="4">
        <v>0.185042</v>
      </c>
      <c r="L78" s="4">
        <v>0.070759</v>
      </c>
      <c r="M78" s="4">
        <v>0.507692</v>
      </c>
      <c r="N78" s="4">
        <v>0.102099</v>
      </c>
      <c r="O78" s="7">
        <v>0</v>
      </c>
      <c r="P78" s="7">
        <v>0</v>
      </c>
      <c r="Q78" s="4">
        <v>0</v>
      </c>
      <c r="R78" s="4">
        <v>0</v>
      </c>
    </row>
    <row r="79" spans="1:22">
      <c r="B79">
        <f>B78*0.95</f>
        <v>0.81321235</v>
      </c>
      <c r="C79">
        <f t="shared" ref="C79:R79" si="13">C78*0.95</f>
        <v>17.64115895</v>
      </c>
      <c r="D79">
        <f t="shared" si="13"/>
        <v>22.5445108</v>
      </c>
      <c r="E79">
        <f t="shared" si="13"/>
        <v>0.0583699</v>
      </c>
      <c r="F79">
        <f t="shared" si="13"/>
        <v>0.01838345</v>
      </c>
      <c r="G79">
        <f t="shared" si="13"/>
        <v>0</v>
      </c>
      <c r="H79">
        <f t="shared" si="13"/>
        <v>15.03322275</v>
      </c>
      <c r="I79">
        <f t="shared" si="13"/>
        <v>38.06883035</v>
      </c>
      <c r="J79">
        <f t="shared" si="13"/>
        <v>0</v>
      </c>
      <c r="K79">
        <f t="shared" si="13"/>
        <v>0.1757899</v>
      </c>
      <c r="L79">
        <f t="shared" si="13"/>
        <v>0.06722105</v>
      </c>
      <c r="M79">
        <f t="shared" si="13"/>
        <v>0.4823074</v>
      </c>
      <c r="N79">
        <f t="shared" si="13"/>
        <v>0.09699405</v>
      </c>
      <c r="O79">
        <f t="shared" si="13"/>
        <v>0</v>
      </c>
      <c r="P79">
        <f t="shared" si="13"/>
        <v>0</v>
      </c>
      <c r="Q79">
        <f t="shared" si="13"/>
        <v>0</v>
      </c>
      <c r="R79">
        <f t="shared" si="13"/>
        <v>0</v>
      </c>
    </row>
    <row r="82" spans="1:18">
      <c r="A82" s="4" t="s">
        <v>54</v>
      </c>
      <c r="B82" s="4">
        <v>55.978924</v>
      </c>
      <c r="C82" s="4">
        <v>0.087029</v>
      </c>
      <c r="D82" s="4">
        <v>0.196128</v>
      </c>
      <c r="E82" s="4">
        <v>0.366662</v>
      </c>
      <c r="F82" s="4">
        <v>0.009706</v>
      </c>
      <c r="G82" s="4">
        <v>0.03774</v>
      </c>
      <c r="H82" s="4">
        <v>42.903954</v>
      </c>
      <c r="I82" s="4">
        <v>0</v>
      </c>
      <c r="J82" s="4">
        <v>0</v>
      </c>
      <c r="K82" s="4">
        <v>0.001084</v>
      </c>
      <c r="L82" s="4">
        <v>0</v>
      </c>
      <c r="M82" s="4">
        <v>0.003416</v>
      </c>
      <c r="N82" s="4">
        <v>0</v>
      </c>
      <c r="O82" s="7">
        <v>0</v>
      </c>
      <c r="P82" s="7">
        <v>0.415356</v>
      </c>
      <c r="Q82" s="4">
        <v>0</v>
      </c>
      <c r="R82" s="4">
        <v>0</v>
      </c>
    </row>
    <row r="83" spans="1:18">
      <c r="B83">
        <f>B82*0.98</f>
        <v>54.85934552</v>
      </c>
      <c r="C83">
        <f t="shared" ref="C83:R83" si="14">C82*0.98</f>
        <v>0.08528842</v>
      </c>
      <c r="D83">
        <f t="shared" si="14"/>
        <v>0.19220544</v>
      </c>
      <c r="E83">
        <f t="shared" si="14"/>
        <v>0.35932876</v>
      </c>
      <c r="F83">
        <f t="shared" si="14"/>
        <v>0.00951188</v>
      </c>
      <c r="G83">
        <f t="shared" si="14"/>
        <v>0.0369852</v>
      </c>
      <c r="H83">
        <f t="shared" si="14"/>
        <v>42.04587492</v>
      </c>
      <c r="I83">
        <f t="shared" si="14"/>
        <v>0</v>
      </c>
      <c r="J83">
        <f t="shared" si="14"/>
        <v>0</v>
      </c>
      <c r="K83">
        <f t="shared" si="14"/>
        <v>0.00106232</v>
      </c>
      <c r="L83">
        <f t="shared" si="14"/>
        <v>0</v>
      </c>
      <c r="M83">
        <f t="shared" si="14"/>
        <v>0.00334768</v>
      </c>
      <c r="N83">
        <f t="shared" si="14"/>
        <v>0</v>
      </c>
      <c r="O83">
        <f t="shared" si="14"/>
        <v>0</v>
      </c>
      <c r="P83">
        <f t="shared" si="14"/>
        <v>0.40704888</v>
      </c>
      <c r="Q83">
        <f t="shared" si="14"/>
        <v>0</v>
      </c>
      <c r="R83">
        <f t="shared" si="14"/>
        <v>0</v>
      </c>
    </row>
    <row r="85" spans="1:18">
      <c r="A85" s="4" t="s">
        <v>35</v>
      </c>
      <c r="B85" s="5">
        <v>61.642356</v>
      </c>
      <c r="C85" s="5">
        <v>17.900715</v>
      </c>
      <c r="D85" s="5">
        <v>2.183712</v>
      </c>
      <c r="E85" s="5">
        <v>2.651003</v>
      </c>
      <c r="F85" s="4">
        <v>3.084817</v>
      </c>
      <c r="G85" s="5">
        <v>9.556366</v>
      </c>
      <c r="H85" s="5">
        <v>2.258101</v>
      </c>
      <c r="I85" s="4">
        <v>0.002571</v>
      </c>
      <c r="J85" s="4">
        <v>0.000279</v>
      </c>
      <c r="K85" s="4">
        <v>0.043761</v>
      </c>
      <c r="L85" s="4">
        <v>0.004024</v>
      </c>
      <c r="M85" s="4">
        <v>0.210144</v>
      </c>
      <c r="N85" s="4">
        <v>0</v>
      </c>
      <c r="O85" s="7">
        <v>0</v>
      </c>
      <c r="P85" s="7">
        <v>0.44203</v>
      </c>
      <c r="Q85" s="4">
        <v>0.02012</v>
      </c>
      <c r="R85" s="4">
        <v>0</v>
      </c>
    </row>
    <row r="86" spans="1:18">
      <c r="B86">
        <f>B85*0.98</f>
        <v>60.40950888</v>
      </c>
      <c r="C86">
        <f t="shared" ref="C86:R86" si="15">C85*0.98</f>
        <v>17.5427007</v>
      </c>
      <c r="D86">
        <f t="shared" si="15"/>
        <v>2.14003776</v>
      </c>
      <c r="E86">
        <f t="shared" si="15"/>
        <v>2.59798294</v>
      </c>
      <c r="F86">
        <f t="shared" si="15"/>
        <v>3.02312066</v>
      </c>
      <c r="G86">
        <f t="shared" si="15"/>
        <v>9.36523868</v>
      </c>
      <c r="H86">
        <f t="shared" si="15"/>
        <v>2.21293898</v>
      </c>
      <c r="I86">
        <f t="shared" si="15"/>
        <v>0.00251958</v>
      </c>
      <c r="J86">
        <f t="shared" si="15"/>
        <v>0.00027342</v>
      </c>
      <c r="K86">
        <f t="shared" si="15"/>
        <v>0.04288578</v>
      </c>
      <c r="L86">
        <f t="shared" si="15"/>
        <v>0.00394352</v>
      </c>
      <c r="M86">
        <f t="shared" si="15"/>
        <v>0.20594112</v>
      </c>
      <c r="N86">
        <f t="shared" si="15"/>
        <v>0</v>
      </c>
      <c r="O86">
        <f t="shared" si="15"/>
        <v>0</v>
      </c>
      <c r="P86">
        <f t="shared" si="15"/>
        <v>0.4331894</v>
      </c>
      <c r="Q86">
        <f t="shared" si="15"/>
        <v>0.0197176</v>
      </c>
      <c r="R86">
        <f t="shared" si="15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赖国梁</cp:lastModifiedBy>
  <dcterms:created xsi:type="dcterms:W3CDTF">2025-12-02T14:53:00Z</dcterms:created>
  <dcterms:modified xsi:type="dcterms:W3CDTF">2026-03-12T14:44:26Z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3C5A0B148CA24704B12A1AF265E1287C_12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