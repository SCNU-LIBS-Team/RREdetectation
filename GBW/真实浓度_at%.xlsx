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<sst xmlns="http://schemas.openxmlformats.org/spreadsheetml/2006/main" count="87" uniqueCount="63">
  <si>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 xml:space="preserve"> samples</t>
  </si>
  <si>
    <t>Si_at%</t>
  </si>
  <si>
    <t>Al_at%</t>
  </si>
  <si>
    <t>Fe_at%</t>
  </si>
  <si>
    <t>Ca_at%</t>
  </si>
  <si>
    <t>K_at%</t>
  </si>
  <si>
    <t>Na_at%</t>
  </si>
  <si>
    <t>Mg_at%</t>
  </si>
  <si>
    <t>Cr_at%</t>
  </si>
  <si>
    <t>Cu_at%</t>
  </si>
  <si>
    <t>Mn_at%</t>
  </si>
  <si>
    <t>Zn_at%</t>
  </si>
  <si>
    <t>Ti_at%</t>
  </si>
  <si>
    <t>Ni_at%</t>
  </si>
  <si>
    <t>Mo_at%</t>
  </si>
  <si>
    <t>C_at%</t>
  </si>
  <si>
    <t>Li_at%</t>
  </si>
  <si>
    <t>Pb_at%</t>
  </si>
  <si>
    <t>GBW03116</t>
  </si>
  <si>
    <t>GBW03124</t>
  </si>
  <si>
    <t>GBW03130</t>
  </si>
  <si>
    <t>GBW03134</t>
  </si>
  <si>
    <t>GBW070036</t>
  </si>
  <si>
    <t>GBW070099</t>
  </si>
  <si>
    <t>GBW070101</t>
  </si>
  <si>
    <t/>
  </si>
  <si>
    <t>GBW070134</t>
  </si>
  <si>
    <t>GBW070159</t>
  </si>
  <si>
    <t>GBW070171</t>
  </si>
  <si>
    <t>GBW07103</t>
  </si>
  <si>
    <t>GBW07104</t>
  </si>
  <si>
    <t>GBW07105</t>
  </si>
  <si>
    <t>GBW07106</t>
  </si>
  <si>
    <t>GBW07107</t>
  </si>
  <si>
    <t>GBW07108</t>
  </si>
  <si>
    <t>GBW07110</t>
  </si>
  <si>
    <t>GBW07111</t>
  </si>
  <si>
    <t>GBW07114</t>
  </si>
  <si>
    <t>GBW07120</t>
  </si>
  <si>
    <t>GBW07121</t>
  </si>
  <si>
    <t>GBW07122</t>
  </si>
  <si>
    <t>GBW07125</t>
  </si>
  <si>
    <t>GBW07127</t>
  </si>
  <si>
    <t>GBW07128</t>
  </si>
  <si>
    <t>GBW07129</t>
  </si>
  <si>
    <t>GBW07134</t>
  </si>
  <si>
    <t>GBW07141</t>
  </si>
  <si>
    <t>GBW07145</t>
  </si>
  <si>
    <t>GBW07147</t>
  </si>
  <si>
    <t>GBW07148</t>
  </si>
  <si>
    <t>GBW07149</t>
  </si>
  <si>
    <t>GBW07162</t>
  </si>
  <si>
    <t>GBW07163</t>
  </si>
  <si>
    <t>GBW07164</t>
  </si>
  <si>
    <t>GBW07165</t>
  </si>
  <si>
    <t>GBW07167</t>
  </si>
  <si>
    <t>GBW07168</t>
  </si>
  <si>
    <t>GBW07201</t>
  </si>
  <si>
    <t>GBW07401</t>
  </si>
  <si>
    <t>GBW07405</t>
  </si>
  <si>
    <t>GBW07407</t>
  </si>
  <si>
    <t>GBW07819</t>
  </si>
  <si>
    <t>GBW07840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</si>
</sst>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Fill="1"/>
    <xf numFmtId="0" fontId="2" fillId="4" borderId="0" xfId="0" applyFont="1" applyFill="1"/>
    <xf numFmtId="0" fontId="0" fillId="0" borderId="0" xfId="0" applyFill="1"/>
    <xf numFmtId="0" fontId="0" fillId="3" borderId="0" xfId="0" applyFill="1"/>
    <xf numFmtId="0" fontId="0" fillId="5" borderId="0" xfId="0" applyFill="1"/>
    <xf numFmtId="0" fontId="3" fillId="6" borderId="0" xfId="0" applyFont="1" applyFill="1"/>
    <xf numFmtId="0" fontId="0" fillId="7" borderId="0" xfId="0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5"/>
  <sheetViews>
    <sheetView tabSelected="1" zoomScale="160" zoomScaleNormal="160" workbookViewId="0">
      <pane ySplit="1" topLeftCell="A2" activePane="bottomLeft" state="frozen"/>
      <selection/>
      <selection pane="bottomLeft" activeCell="C11" sqref="C11"/>
    </sheetView>
  </sheetViews>
  <sheetFormatPr defaultColWidth="9" defaultRowHeight="13.5"/>
  <cols>
    <col min="2" max="3" width="12.8"/>
    <col min="4" max="4" width="12.625"/>
    <col min="5" max="5" width="11.6666666666667"/>
    <col min="6" max="9" width="12.8"/>
    <col min="10" max="10" width="11.6666666666667"/>
    <col min="11" max="13" width="12.8"/>
    <col min="14" max="14" width="11.6666666666667"/>
    <col min="15" max="16" width="11.6666666666667" style="1"/>
    <col min="17" max="18" width="11.6666666666667"/>
    <col min="19" max="19" width="10.5333333333333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2" t="s">
        <v>17</v>
      </c>
    </row>
    <row r="2" spans="1:19">
      <c r="A2" s="4" t="s">
        <v>18</v>
      </c>
      <c r="B2" s="4">
        <v>60.961919</v>
      </c>
      <c r="C2" s="4">
        <v>20.201434</v>
      </c>
      <c r="D2" s="4">
        <v>0.13168</v>
      </c>
      <c r="E2" s="4">
        <v>0.749008</v>
      </c>
      <c r="F2" s="4">
        <v>11.267515</v>
      </c>
      <c r="G2" s="4">
        <v>6.581364</v>
      </c>
      <c r="H2" s="4">
        <v>0.073911</v>
      </c>
      <c r="I2" s="4">
        <v>0</v>
      </c>
      <c r="J2" s="4">
        <v>0</v>
      </c>
      <c r="K2" s="4">
        <v>0</v>
      </c>
      <c r="L2" s="4">
        <v>0</v>
      </c>
      <c r="M2" s="4">
        <v>0.033169</v>
      </c>
      <c r="N2" s="4">
        <v>0</v>
      </c>
      <c r="O2" s="5">
        <v>0</v>
      </c>
      <c r="P2" s="5">
        <v>0</v>
      </c>
      <c r="Q2" s="4">
        <v>0</v>
      </c>
      <c r="R2" s="4">
        <v>0</v>
      </c>
      <c r="S2">
        <f t="shared" ref="S2:S45" si="0">B2+C2+D2+E2+F2+G2+H2+K2+M2</f>
        <v>100</v>
      </c>
    </row>
    <row r="3" spans="1:19">
      <c r="A3" s="4" t="s">
        <v>19</v>
      </c>
      <c r="B3" s="4">
        <v>55.093319</v>
      </c>
      <c r="C3" s="4">
        <v>21.46813</v>
      </c>
      <c r="D3" s="4">
        <v>1.148571</v>
      </c>
      <c r="E3" s="4">
        <v>0.505339</v>
      </c>
      <c r="F3" s="4">
        <v>5.864155</v>
      </c>
      <c r="G3" s="4">
        <v>15.799952</v>
      </c>
      <c r="H3" s="4">
        <v>0</v>
      </c>
      <c r="I3" s="4">
        <v>0</v>
      </c>
      <c r="J3" s="4">
        <v>0</v>
      </c>
      <c r="K3" s="4">
        <v>0.038431</v>
      </c>
      <c r="L3" s="4">
        <v>0</v>
      </c>
      <c r="M3" s="4">
        <v>0.082103</v>
      </c>
      <c r="N3" s="4">
        <v>0</v>
      </c>
      <c r="O3" s="5">
        <v>0</v>
      </c>
      <c r="P3" s="5">
        <v>0</v>
      </c>
      <c r="Q3" s="4">
        <v>0</v>
      </c>
      <c r="R3" s="4">
        <v>0</v>
      </c>
      <c r="S3">
        <f t="shared" si="0"/>
        <v>100</v>
      </c>
    </row>
    <row r="4" spans="1:19">
      <c r="A4" s="4" t="s">
        <v>20</v>
      </c>
      <c r="B4" s="4">
        <v>55.978924</v>
      </c>
      <c r="C4" s="4">
        <v>0.087029</v>
      </c>
      <c r="D4" s="4">
        <v>0.196128</v>
      </c>
      <c r="E4" s="4">
        <v>0.366662</v>
      </c>
      <c r="F4" s="4">
        <v>0.009706</v>
      </c>
      <c r="G4" s="4">
        <v>0.03774</v>
      </c>
      <c r="H4" s="4">
        <v>42.903954</v>
      </c>
      <c r="I4" s="4">
        <v>0</v>
      </c>
      <c r="J4" s="4">
        <v>0</v>
      </c>
      <c r="K4" s="4">
        <v>0.001084</v>
      </c>
      <c r="L4" s="4">
        <v>0</v>
      </c>
      <c r="M4" s="4">
        <v>0.003416</v>
      </c>
      <c r="N4" s="4">
        <v>0</v>
      </c>
      <c r="O4" s="5">
        <v>0</v>
      </c>
      <c r="P4" s="5">
        <v>0.415356</v>
      </c>
      <c r="Q4" s="4">
        <v>0</v>
      </c>
      <c r="R4" s="4">
        <v>0</v>
      </c>
      <c r="S4">
        <f t="shared" si="0"/>
        <v>99.584643</v>
      </c>
    </row>
    <row r="5" spans="1:19">
      <c r="A5" s="4" t="s">
        <v>21</v>
      </c>
      <c r="B5" s="4">
        <v>59.776424</v>
      </c>
      <c r="C5" s="4">
        <v>20.339201</v>
      </c>
      <c r="D5" s="4">
        <v>0.065322</v>
      </c>
      <c r="E5" s="4">
        <v>0.452289</v>
      </c>
      <c r="F5" s="4">
        <v>0.109505</v>
      </c>
      <c r="G5" s="4">
        <v>19.202031</v>
      </c>
      <c r="H5" s="4">
        <v>0.019554</v>
      </c>
      <c r="I5" s="4">
        <v>0</v>
      </c>
      <c r="J5" s="4">
        <v>0</v>
      </c>
      <c r="K5" s="4">
        <v>0</v>
      </c>
      <c r="L5" s="4">
        <v>0</v>
      </c>
      <c r="M5" s="4">
        <v>0.035674</v>
      </c>
      <c r="N5" s="4">
        <v>0</v>
      </c>
      <c r="O5" s="5">
        <v>0</v>
      </c>
      <c r="P5" s="5">
        <v>0</v>
      </c>
      <c r="Q5" s="4">
        <v>0</v>
      </c>
      <c r="R5" s="4">
        <v>0</v>
      </c>
      <c r="S5">
        <f t="shared" si="0"/>
        <v>100</v>
      </c>
    </row>
    <row r="6" spans="1:19">
      <c r="A6" s="4" t="s">
        <v>22</v>
      </c>
      <c r="B6" s="4">
        <v>5.068683</v>
      </c>
      <c r="C6" s="4">
        <v>85.37462</v>
      </c>
      <c r="D6" s="4">
        <v>4.75975</v>
      </c>
      <c r="E6" s="4">
        <v>0.19934</v>
      </c>
      <c r="F6" s="4">
        <v>0.940217</v>
      </c>
      <c r="G6" s="4">
        <v>0.062161</v>
      </c>
      <c r="H6" s="4">
        <v>0.185672</v>
      </c>
      <c r="I6" s="4">
        <v>0</v>
      </c>
      <c r="J6" s="4">
        <v>0</v>
      </c>
      <c r="K6" s="4">
        <v>0.024527</v>
      </c>
      <c r="L6" s="4">
        <v>0</v>
      </c>
      <c r="M6" s="4">
        <v>3.101811</v>
      </c>
      <c r="N6" s="4">
        <v>0</v>
      </c>
      <c r="O6" s="5">
        <v>0</v>
      </c>
      <c r="P6" s="5">
        <v>0.28322</v>
      </c>
      <c r="Q6" s="4">
        <v>0</v>
      </c>
      <c r="R6" s="4">
        <v>0</v>
      </c>
      <c r="S6">
        <f t="shared" si="0"/>
        <v>99.716781</v>
      </c>
    </row>
    <row r="7" ht="13" customHeight="1" spans="1:19">
      <c r="A7" s="6" t="s">
        <v>23</v>
      </c>
      <c r="B7" s="4">
        <v>39.012632</v>
      </c>
      <c r="C7" s="4">
        <v>14.457943</v>
      </c>
      <c r="D7" s="4">
        <v>8.96396</v>
      </c>
      <c r="E7" s="4">
        <v>1.476113</v>
      </c>
      <c r="F7" s="4">
        <v>3.087334</v>
      </c>
      <c r="G7" s="4">
        <v>0.126528</v>
      </c>
      <c r="H7" s="4">
        <v>1.737302</v>
      </c>
      <c r="I7" s="4">
        <v>0</v>
      </c>
      <c r="J7" s="4">
        <v>0</v>
      </c>
      <c r="K7" s="4">
        <v>31.138187</v>
      </c>
      <c r="L7" s="4">
        <v>0</v>
      </c>
      <c r="M7" s="4">
        <v>0</v>
      </c>
      <c r="N7" s="4">
        <v>0</v>
      </c>
      <c r="O7" s="5">
        <v>0</v>
      </c>
      <c r="P7" s="5">
        <v>0</v>
      </c>
      <c r="Q7" s="4">
        <v>0</v>
      </c>
      <c r="R7" s="4">
        <v>0</v>
      </c>
      <c r="S7">
        <f t="shared" si="0"/>
        <v>99.999999</v>
      </c>
    </row>
    <row r="8" spans="1:19">
      <c r="A8" s="7" t="s">
        <v>24</v>
      </c>
      <c r="B8" s="4">
        <v>27.410601</v>
      </c>
      <c r="C8" s="4">
        <v>15.493601</v>
      </c>
      <c r="D8" s="4">
        <v>11.39766</v>
      </c>
      <c r="E8" s="4">
        <v>1.392057</v>
      </c>
      <c r="F8" s="4">
        <v>2.618859</v>
      </c>
      <c r="G8" s="4">
        <v>0.164077</v>
      </c>
      <c r="H8" s="4">
        <v>2.259981</v>
      </c>
      <c r="I8" s="4">
        <v>0</v>
      </c>
      <c r="J8" s="4">
        <v>0</v>
      </c>
      <c r="K8" s="4">
        <v>39.263164</v>
      </c>
      <c r="L8" s="4" t="s">
        <v>25</v>
      </c>
      <c r="M8" s="4">
        <v>0</v>
      </c>
      <c r="N8" s="4">
        <v>0</v>
      </c>
      <c r="O8" s="5">
        <v>0</v>
      </c>
      <c r="P8" s="5">
        <v>0</v>
      </c>
      <c r="Q8" s="4">
        <v>0</v>
      </c>
      <c r="R8" s="4">
        <v>0</v>
      </c>
      <c r="S8">
        <f t="shared" si="0"/>
        <v>100</v>
      </c>
    </row>
    <row r="9" spans="1:19">
      <c r="A9" s="4" t="s">
        <v>26</v>
      </c>
      <c r="B9" s="4">
        <v>0.856013</v>
      </c>
      <c r="C9" s="4">
        <v>18.569641</v>
      </c>
      <c r="D9" s="4">
        <v>23.731064</v>
      </c>
      <c r="E9" s="4">
        <v>0.061442</v>
      </c>
      <c r="F9" s="4">
        <v>0.019351</v>
      </c>
      <c r="G9" s="4">
        <v>0</v>
      </c>
      <c r="H9" s="4">
        <v>15.824445</v>
      </c>
      <c r="I9" s="4">
        <v>40.072453</v>
      </c>
      <c r="J9" s="4">
        <v>0</v>
      </c>
      <c r="K9" s="4">
        <v>0.185042</v>
      </c>
      <c r="L9" s="4">
        <v>0.070759</v>
      </c>
      <c r="M9" s="4">
        <v>0.507692</v>
      </c>
      <c r="N9" s="4">
        <v>0.102099</v>
      </c>
      <c r="O9" s="5">
        <v>0</v>
      </c>
      <c r="P9" s="5">
        <v>0</v>
      </c>
      <c r="Q9" s="4">
        <v>0</v>
      </c>
      <c r="R9" s="4">
        <v>0</v>
      </c>
      <c r="S9">
        <f t="shared" si="0"/>
        <v>59.75469</v>
      </c>
    </row>
    <row r="10" spans="1:19">
      <c r="A10" s="4" t="s">
        <v>27</v>
      </c>
      <c r="B10" s="4">
        <v>3.261095</v>
      </c>
      <c r="C10" s="4">
        <v>0.444072</v>
      </c>
      <c r="D10" s="4">
        <v>0.281221</v>
      </c>
      <c r="E10" s="4">
        <v>48.8054</v>
      </c>
      <c r="F10" s="4">
        <v>0.051106</v>
      </c>
      <c r="G10" s="4">
        <v>0.03159</v>
      </c>
      <c r="H10" s="4">
        <v>47.092474</v>
      </c>
      <c r="I10" s="4">
        <v>0</v>
      </c>
      <c r="J10" s="4">
        <v>0</v>
      </c>
      <c r="K10" s="4">
        <v>0.019789</v>
      </c>
      <c r="L10" s="4">
        <v>0</v>
      </c>
      <c r="M10" s="4">
        <v>0.013253</v>
      </c>
      <c r="N10" s="4">
        <v>0</v>
      </c>
      <c r="O10" s="5">
        <v>0</v>
      </c>
      <c r="P10" s="5">
        <v>0</v>
      </c>
      <c r="Q10" s="4">
        <v>0</v>
      </c>
      <c r="R10" s="4">
        <v>0</v>
      </c>
      <c r="S10">
        <f t="shared" si="0"/>
        <v>100</v>
      </c>
    </row>
    <row r="11" ht="13" customHeight="1" spans="1:19">
      <c r="A11" s="6" t="s">
        <v>28</v>
      </c>
      <c r="B11" s="4">
        <v>6.277813</v>
      </c>
      <c r="C11" s="4">
        <v>69.365988</v>
      </c>
      <c r="D11" s="4">
        <v>18.810791</v>
      </c>
      <c r="E11" s="4">
        <v>0.119581</v>
      </c>
      <c r="F11" s="4">
        <v>0.039577</v>
      </c>
      <c r="G11" s="4">
        <v>0.057124</v>
      </c>
      <c r="H11" s="4">
        <v>0.066786</v>
      </c>
      <c r="I11" s="4">
        <v>0.09214</v>
      </c>
      <c r="J11" s="4">
        <v>0</v>
      </c>
      <c r="K11" s="4">
        <v>0.029528</v>
      </c>
      <c r="L11" s="4">
        <v>0.002164</v>
      </c>
      <c r="M11" s="4">
        <v>3.832083</v>
      </c>
      <c r="N11" s="4">
        <v>0</v>
      </c>
      <c r="O11" s="5">
        <v>0</v>
      </c>
      <c r="P11" s="5">
        <v>1.306425</v>
      </c>
      <c r="Q11" s="4">
        <v>0</v>
      </c>
      <c r="R11" s="4">
        <v>0</v>
      </c>
      <c r="S11">
        <f t="shared" si="0"/>
        <v>98.599271</v>
      </c>
    </row>
    <row r="12" spans="1:19">
      <c r="A12" s="4" t="s">
        <v>29</v>
      </c>
      <c r="B12" s="6">
        <v>68.994892</v>
      </c>
      <c r="C12" s="6">
        <v>14.961015</v>
      </c>
      <c r="D12" s="6">
        <v>1.524778</v>
      </c>
      <c r="E12" s="6">
        <v>1.572192</v>
      </c>
      <c r="F12" s="7">
        <v>6.054828</v>
      </c>
      <c r="G12" s="7">
        <v>5.748939</v>
      </c>
      <c r="H12" s="6">
        <v>0.592482</v>
      </c>
      <c r="I12" s="4">
        <v>0.000398</v>
      </c>
      <c r="J12" s="4">
        <v>0.000285</v>
      </c>
      <c r="K12" s="4">
        <v>0.045195</v>
      </c>
      <c r="L12" s="4">
        <v>0.002448</v>
      </c>
      <c r="M12" s="4">
        <v>0.204514</v>
      </c>
      <c r="N12" s="4">
        <v>0.000228</v>
      </c>
      <c r="O12" s="5">
        <v>0</v>
      </c>
      <c r="P12" s="5">
        <v>0.189544</v>
      </c>
      <c r="Q12" s="4">
        <v>0.107408</v>
      </c>
      <c r="R12" s="4">
        <v>0.000854</v>
      </c>
      <c r="S12">
        <f t="shared" si="0"/>
        <v>99.698835</v>
      </c>
    </row>
    <row r="13" spans="1:19">
      <c r="A13" s="4" t="s">
        <v>30</v>
      </c>
      <c r="B13" s="6">
        <v>56.858585</v>
      </c>
      <c r="C13" s="6">
        <v>17.87496</v>
      </c>
      <c r="D13" s="6">
        <v>3.458401</v>
      </c>
      <c r="E13" s="6">
        <v>5.22536</v>
      </c>
      <c r="F13" s="7">
        <v>2.260139</v>
      </c>
      <c r="G13" s="7">
        <v>7.018244</v>
      </c>
      <c r="H13" s="6">
        <v>2.404526</v>
      </c>
      <c r="I13" s="4">
        <v>0.003494</v>
      </c>
      <c r="J13" s="4">
        <v>0.004903</v>
      </c>
      <c r="K13" s="4">
        <v>0.061542</v>
      </c>
      <c r="L13" s="4">
        <v>0.006143</v>
      </c>
      <c r="M13" s="4">
        <v>0.363784</v>
      </c>
      <c r="N13" s="6">
        <v>0.001634</v>
      </c>
      <c r="O13" s="5">
        <v>0</v>
      </c>
      <c r="P13" s="5">
        <v>4.443407</v>
      </c>
      <c r="Q13" s="4">
        <v>0.014596</v>
      </c>
      <c r="R13" s="4">
        <v>0.000282</v>
      </c>
      <c r="S13">
        <f t="shared" si="0"/>
        <v>95.525541</v>
      </c>
    </row>
    <row r="14" spans="1:19">
      <c r="A14" s="4" t="s">
        <v>31</v>
      </c>
      <c r="B14" s="6">
        <v>43.009331</v>
      </c>
      <c r="C14" s="6">
        <v>15.703316</v>
      </c>
      <c r="D14" s="6">
        <v>9.715441</v>
      </c>
      <c r="E14" s="6">
        <v>9.094383</v>
      </c>
      <c r="F14" s="7">
        <v>2.85028</v>
      </c>
      <c r="G14" s="7">
        <v>6.312877</v>
      </c>
      <c r="H14" s="6">
        <v>11.159077</v>
      </c>
      <c r="I14" s="4">
        <v>0.014936</v>
      </c>
      <c r="J14" s="4">
        <v>0.004458</v>
      </c>
      <c r="K14" s="4">
        <v>0.138071</v>
      </c>
      <c r="L14" s="4">
        <v>0.013257</v>
      </c>
      <c r="M14" s="4">
        <v>1.717405</v>
      </c>
      <c r="N14" s="4">
        <v>0.013836</v>
      </c>
      <c r="O14" s="5">
        <v>0</v>
      </c>
      <c r="P14" s="5">
        <v>0.245807</v>
      </c>
      <c r="Q14" s="4">
        <v>0.007526</v>
      </c>
      <c r="R14" s="4">
        <v>0</v>
      </c>
      <c r="S14">
        <f t="shared" si="0"/>
        <v>99.700181</v>
      </c>
    </row>
    <row r="15" spans="1:19">
      <c r="A15" s="4" t="s">
        <v>32</v>
      </c>
      <c r="B15" s="6">
        <v>91.450003</v>
      </c>
      <c r="C15" s="6">
        <v>4.196492</v>
      </c>
      <c r="D15" s="6">
        <v>2.452256</v>
      </c>
      <c r="E15" s="6">
        <v>0.32473</v>
      </c>
      <c r="F15" s="4">
        <v>0.838338</v>
      </c>
      <c r="G15" s="4">
        <v>0.119007</v>
      </c>
      <c r="H15" s="4">
        <v>0.122595</v>
      </c>
      <c r="I15" s="4">
        <v>0.002311</v>
      </c>
      <c r="J15" s="4">
        <v>0.001824</v>
      </c>
      <c r="K15" s="4">
        <v>0.017149</v>
      </c>
      <c r="L15" s="4">
        <v>0.001885</v>
      </c>
      <c r="M15" s="4">
        <v>0.200736</v>
      </c>
      <c r="N15" s="4">
        <v>0.001642</v>
      </c>
      <c r="O15" s="5">
        <v>0</v>
      </c>
      <c r="P15" s="5">
        <v>0.262277</v>
      </c>
      <c r="Q15" s="4">
        <v>0.008757</v>
      </c>
      <c r="R15" s="4">
        <v>0</v>
      </c>
      <c r="S15">
        <f t="shared" si="0"/>
        <v>99.721306</v>
      </c>
    </row>
    <row r="16" spans="1:19">
      <c r="A16" s="4" t="s">
        <v>33</v>
      </c>
      <c r="B16" s="6">
        <v>60.772468</v>
      </c>
      <c r="C16" s="6">
        <v>22.757355</v>
      </c>
      <c r="D16" s="6">
        <v>5.867524</v>
      </c>
      <c r="E16" s="6">
        <v>0.658366</v>
      </c>
      <c r="F16" s="4">
        <v>5.444787</v>
      </c>
      <c r="G16" s="4">
        <v>0.694554</v>
      </c>
      <c r="H16" s="6">
        <v>3.074264</v>
      </c>
      <c r="I16" s="4">
        <v>0.011714</v>
      </c>
      <c r="J16" s="4">
        <v>0.004069</v>
      </c>
      <c r="K16" s="4">
        <v>0.01942</v>
      </c>
      <c r="L16" s="4">
        <v>0.005179</v>
      </c>
      <c r="M16" s="4">
        <v>0.50874</v>
      </c>
      <c r="N16" s="4">
        <v>0.003884</v>
      </c>
      <c r="O16" s="5">
        <v>0</v>
      </c>
      <c r="P16" s="5">
        <v>0.13859</v>
      </c>
      <c r="Q16" s="4">
        <v>0.039086</v>
      </c>
      <c r="R16" s="4">
        <v>0</v>
      </c>
      <c r="S16">
        <f t="shared" si="0"/>
        <v>99.797478</v>
      </c>
    </row>
    <row r="17" spans="1:19">
      <c r="A17" s="4" t="s">
        <v>34</v>
      </c>
      <c r="B17" s="6">
        <v>13.555426</v>
      </c>
      <c r="C17" s="6">
        <v>5.150969</v>
      </c>
      <c r="D17" s="7">
        <v>1.647341</v>
      </c>
      <c r="E17" s="6">
        <v>33.210221</v>
      </c>
      <c r="F17" s="4">
        <v>0.863977</v>
      </c>
      <c r="G17" s="4">
        <v>0.133972</v>
      </c>
      <c r="H17" s="6">
        <v>6.721508</v>
      </c>
      <c r="I17" s="4">
        <v>0.003237</v>
      </c>
      <c r="J17" s="4">
        <v>0.00188</v>
      </c>
      <c r="K17" s="4">
        <v>0.041246</v>
      </c>
      <c r="L17" s="4">
        <v>0.004177</v>
      </c>
      <c r="M17" s="4">
        <v>0.213801</v>
      </c>
      <c r="N17" s="4">
        <v>0.001619</v>
      </c>
      <c r="O17" s="5">
        <v>0</v>
      </c>
      <c r="P17" s="5">
        <v>38.43512</v>
      </c>
      <c r="Q17" s="4">
        <v>0.015037</v>
      </c>
      <c r="R17" s="4">
        <v>0.00047</v>
      </c>
      <c r="S17">
        <f t="shared" si="0"/>
        <v>61.538461</v>
      </c>
    </row>
    <row r="18" spans="1:19">
      <c r="A18" s="4" t="s">
        <v>35</v>
      </c>
      <c r="B18" s="6">
        <v>60.480471</v>
      </c>
      <c r="C18" s="6">
        <v>18.199217</v>
      </c>
      <c r="D18" s="6">
        <v>3.407451</v>
      </c>
      <c r="E18" s="6">
        <v>2.537896</v>
      </c>
      <c r="F18" s="4">
        <v>6.324715</v>
      </c>
      <c r="G18" s="4">
        <v>5.690169</v>
      </c>
      <c r="H18" s="6">
        <v>1.199765</v>
      </c>
      <c r="I18" s="4">
        <v>0.000749</v>
      </c>
      <c r="J18" s="4">
        <v>0.000807</v>
      </c>
      <c r="K18" s="6">
        <v>0.071344</v>
      </c>
      <c r="L18" s="4">
        <v>0.144532</v>
      </c>
      <c r="M18" s="4">
        <v>0.576687</v>
      </c>
      <c r="N18" s="4">
        <v>0.001153</v>
      </c>
      <c r="O18" s="5">
        <v>0</v>
      </c>
      <c r="P18" s="5">
        <v>1.348216</v>
      </c>
      <c r="Q18" s="4">
        <v>0.014119</v>
      </c>
      <c r="R18" s="4">
        <v>0.002709</v>
      </c>
      <c r="S18">
        <f t="shared" si="0"/>
        <v>98.487715</v>
      </c>
    </row>
    <row r="19" spans="1:19">
      <c r="A19" s="4" t="s">
        <v>36</v>
      </c>
      <c r="B19" s="6">
        <v>56.190019</v>
      </c>
      <c r="C19" s="6">
        <v>18.375333</v>
      </c>
      <c r="D19" s="6">
        <v>4.295228</v>
      </c>
      <c r="E19" s="6">
        <v>4.761218</v>
      </c>
      <c r="F19" s="4">
        <v>4.203354</v>
      </c>
      <c r="G19" s="4">
        <v>7.392133</v>
      </c>
      <c r="H19" s="6">
        <v>3.943006</v>
      </c>
      <c r="I19" s="4">
        <v>0.004017</v>
      </c>
      <c r="J19" s="4">
        <v>0.000735</v>
      </c>
      <c r="K19" s="6">
        <v>0.074167</v>
      </c>
      <c r="L19" s="4">
        <v>0.007354</v>
      </c>
      <c r="M19" s="4">
        <v>0.544852</v>
      </c>
      <c r="N19" s="4">
        <v>0.002319</v>
      </c>
      <c r="O19" s="5">
        <v>0</v>
      </c>
      <c r="P19" s="5">
        <v>0.19263</v>
      </c>
      <c r="Q19" s="4">
        <v>0.013068</v>
      </c>
      <c r="R19" s="4">
        <v>0.000566</v>
      </c>
      <c r="S19">
        <f t="shared" si="0"/>
        <v>99.77931</v>
      </c>
    </row>
    <row r="20" spans="1:19">
      <c r="A20" s="4" t="s">
        <v>37</v>
      </c>
      <c r="B20" s="4">
        <v>0.477199</v>
      </c>
      <c r="C20" s="4">
        <v>0.090941</v>
      </c>
      <c r="D20" s="4">
        <v>0.119601</v>
      </c>
      <c r="E20" s="6">
        <v>24.826001</v>
      </c>
      <c r="F20" s="4">
        <v>0.037378</v>
      </c>
      <c r="G20" s="4">
        <v>0.044798</v>
      </c>
      <c r="H20" s="6">
        <v>25.08315</v>
      </c>
      <c r="I20" s="4">
        <v>0</v>
      </c>
      <c r="J20" s="4">
        <v>0.00218</v>
      </c>
      <c r="K20" s="4">
        <v>0.006493</v>
      </c>
      <c r="L20" s="4">
        <v>0.000788</v>
      </c>
      <c r="M20" s="4">
        <v>0.008626</v>
      </c>
      <c r="N20" s="4">
        <v>0.018967</v>
      </c>
      <c r="O20" s="5">
        <v>0</v>
      </c>
      <c r="P20" s="5">
        <v>49.282439</v>
      </c>
      <c r="Q20" s="4">
        <v>0.001345</v>
      </c>
      <c r="R20" s="4">
        <v>9.3e-5</v>
      </c>
      <c r="S20">
        <f t="shared" si="0"/>
        <v>50.694187</v>
      </c>
    </row>
    <row r="21" spans="1:19">
      <c r="A21" s="4" t="s">
        <v>38</v>
      </c>
      <c r="B21" s="4">
        <v>5.633049</v>
      </c>
      <c r="C21" s="4">
        <v>0.677279</v>
      </c>
      <c r="D21" s="4">
        <v>0.133063</v>
      </c>
      <c r="E21" s="6">
        <v>46.384994</v>
      </c>
      <c r="F21" s="4">
        <v>0.161468</v>
      </c>
      <c r="G21" s="4">
        <v>0.048715</v>
      </c>
      <c r="H21" s="6">
        <v>0.896421</v>
      </c>
      <c r="I21" s="4">
        <v>0.000356</v>
      </c>
      <c r="J21" s="4">
        <v>0.000153</v>
      </c>
      <c r="K21" s="4">
        <v>0.002596</v>
      </c>
      <c r="L21" s="4">
        <v>0</v>
      </c>
      <c r="M21" s="4">
        <v>0.024434</v>
      </c>
      <c r="N21" s="4">
        <v>0</v>
      </c>
      <c r="O21" s="5">
        <v>0</v>
      </c>
      <c r="P21" s="5">
        <v>46.034519</v>
      </c>
      <c r="Q21" s="4">
        <v>0.002952</v>
      </c>
      <c r="R21" s="4">
        <v>0</v>
      </c>
      <c r="S21">
        <f t="shared" si="0"/>
        <v>53.962019</v>
      </c>
    </row>
    <row r="22" spans="1:19">
      <c r="A22" s="4" t="s">
        <v>39</v>
      </c>
      <c r="B22" s="6">
        <v>61.642356</v>
      </c>
      <c r="C22" s="6">
        <v>17.900715</v>
      </c>
      <c r="D22" s="6">
        <v>2.183712</v>
      </c>
      <c r="E22" s="6">
        <v>2.651003</v>
      </c>
      <c r="F22" s="4">
        <v>3.084817</v>
      </c>
      <c r="G22" s="6">
        <v>9.556366</v>
      </c>
      <c r="H22" s="6">
        <v>2.258101</v>
      </c>
      <c r="I22" s="4">
        <v>0.002571</v>
      </c>
      <c r="J22" s="4">
        <v>0.000279</v>
      </c>
      <c r="K22" s="4">
        <v>0.043761</v>
      </c>
      <c r="L22" s="4">
        <v>0.004024</v>
      </c>
      <c r="M22" s="4">
        <v>0.210144</v>
      </c>
      <c r="N22" s="4">
        <v>0</v>
      </c>
      <c r="O22" s="5">
        <v>0</v>
      </c>
      <c r="P22" s="5">
        <v>0.44203</v>
      </c>
      <c r="Q22" s="4">
        <v>0.02012</v>
      </c>
      <c r="R22" s="4">
        <v>0</v>
      </c>
      <c r="S22">
        <f t="shared" si="0"/>
        <v>99.530975</v>
      </c>
    </row>
    <row r="23" spans="1:19">
      <c r="A23" s="7" t="s">
        <v>40</v>
      </c>
      <c r="B23" s="6">
        <v>47.831811</v>
      </c>
      <c r="C23" s="6">
        <v>15.631766</v>
      </c>
      <c r="D23" s="6">
        <v>10.735646</v>
      </c>
      <c r="E23" s="6">
        <v>9.915436</v>
      </c>
      <c r="F23" s="4">
        <v>0.589629</v>
      </c>
      <c r="G23" s="4">
        <v>3.867223</v>
      </c>
      <c r="H23" s="6">
        <v>10.344858</v>
      </c>
      <c r="I23" s="4">
        <v>0.015233</v>
      </c>
      <c r="J23" s="4">
        <v>0.007645</v>
      </c>
      <c r="K23" s="6">
        <v>0.168664</v>
      </c>
      <c r="L23" s="4">
        <v>0.008862</v>
      </c>
      <c r="M23" s="4">
        <v>0.666721</v>
      </c>
      <c r="N23" s="4">
        <v>0</v>
      </c>
      <c r="O23" s="5">
        <v>0</v>
      </c>
      <c r="P23" s="5">
        <v>0.207355</v>
      </c>
      <c r="Q23" s="4">
        <v>0.009151</v>
      </c>
      <c r="R23" s="4">
        <v>0</v>
      </c>
      <c r="S23">
        <f t="shared" si="0"/>
        <v>99.751754</v>
      </c>
    </row>
    <row r="24" spans="1:19">
      <c r="A24" s="4" t="s">
        <v>41</v>
      </c>
      <c r="B24" s="6">
        <v>73.455597</v>
      </c>
      <c r="C24" s="6">
        <v>14.944521</v>
      </c>
      <c r="D24" s="4">
        <v>0.172732</v>
      </c>
      <c r="E24" s="6">
        <v>0.102946</v>
      </c>
      <c r="F24" s="4">
        <v>7.628672</v>
      </c>
      <c r="G24" s="4">
        <v>2.980227</v>
      </c>
      <c r="H24" s="4">
        <v>0.186134</v>
      </c>
      <c r="I24" s="4">
        <v>0.000462</v>
      </c>
      <c r="J24" s="4">
        <v>0.000347</v>
      </c>
      <c r="K24" s="4">
        <v>0.008088</v>
      </c>
      <c r="L24" s="4">
        <v>0.001791</v>
      </c>
      <c r="M24" s="4">
        <v>0.440495</v>
      </c>
      <c r="N24" s="4">
        <v>0</v>
      </c>
      <c r="O24" s="5">
        <v>0</v>
      </c>
      <c r="P24" s="5">
        <v>0.065395</v>
      </c>
      <c r="Q24" s="4">
        <v>0.011669</v>
      </c>
      <c r="R24" s="4">
        <v>0.000924</v>
      </c>
      <c r="S24">
        <f t="shared" si="0"/>
        <v>99.919412</v>
      </c>
    </row>
    <row r="25" spans="1:19">
      <c r="A25" s="4" t="s">
        <v>42</v>
      </c>
      <c r="B25" s="4">
        <v>0.446983</v>
      </c>
      <c r="C25" s="4">
        <v>0.161109</v>
      </c>
      <c r="D25" s="4">
        <v>0.118072</v>
      </c>
      <c r="E25" s="6">
        <v>41.717716</v>
      </c>
      <c r="F25" s="4">
        <v>0.043721</v>
      </c>
      <c r="G25" s="4">
        <v>0.034</v>
      </c>
      <c r="H25" s="6">
        <v>8.19235</v>
      </c>
      <c r="I25" s="4">
        <v>0.000391</v>
      </c>
      <c r="J25" s="4">
        <v>0.000147</v>
      </c>
      <c r="K25" s="4">
        <v>0.006155</v>
      </c>
      <c r="L25" s="4">
        <v>0.000586</v>
      </c>
      <c r="M25" s="4">
        <v>0.006644</v>
      </c>
      <c r="N25" s="4">
        <v>0.00044</v>
      </c>
      <c r="O25" s="5">
        <v>0</v>
      </c>
      <c r="P25" s="5">
        <v>49.269536</v>
      </c>
      <c r="Q25" s="4">
        <v>0.002101</v>
      </c>
      <c r="R25" s="4">
        <v>4.9e-5</v>
      </c>
      <c r="S25">
        <f t="shared" si="0"/>
        <v>50.72675</v>
      </c>
    </row>
    <row r="26" spans="1:19">
      <c r="A26" s="4" t="s">
        <v>43</v>
      </c>
      <c r="B26" s="4">
        <v>0.575793</v>
      </c>
      <c r="C26" s="4">
        <v>0.206916</v>
      </c>
      <c r="D26" s="4">
        <v>0.123264</v>
      </c>
      <c r="E26" s="6">
        <v>36.005287</v>
      </c>
      <c r="F26" s="4">
        <v>0.052944</v>
      </c>
      <c r="G26" s="4">
        <v>0.043944</v>
      </c>
      <c r="H26" s="6">
        <v>13.875974</v>
      </c>
      <c r="I26" s="4">
        <v>0.000481</v>
      </c>
      <c r="J26" s="4">
        <v>0.000144</v>
      </c>
      <c r="K26" s="4">
        <v>0.006065</v>
      </c>
      <c r="L26" s="4">
        <v>0.000674</v>
      </c>
      <c r="M26" s="4">
        <v>0.013092</v>
      </c>
      <c r="N26" s="4">
        <v>0.000337</v>
      </c>
      <c r="O26" s="5">
        <v>0</v>
      </c>
      <c r="P26" s="5">
        <v>49.09292</v>
      </c>
      <c r="Q26" s="4">
        <v>0.00207</v>
      </c>
      <c r="R26" s="4">
        <v>9.6e-5</v>
      </c>
      <c r="S26">
        <f t="shared" si="0"/>
        <v>50.903279</v>
      </c>
    </row>
    <row r="27" spans="1:19">
      <c r="A27" s="4" t="s">
        <v>44</v>
      </c>
      <c r="B27" s="4">
        <v>0.251166</v>
      </c>
      <c r="C27" s="4">
        <v>0.147526</v>
      </c>
      <c r="D27" s="4">
        <v>0.044187</v>
      </c>
      <c r="E27" s="6">
        <v>49.856404</v>
      </c>
      <c r="F27" s="4">
        <v>0.011588</v>
      </c>
      <c r="G27" s="4">
        <v>0.021917</v>
      </c>
      <c r="H27" s="4">
        <v>0.298528</v>
      </c>
      <c r="I27" s="4">
        <v>0.000302</v>
      </c>
      <c r="J27" s="4">
        <v>0.000151</v>
      </c>
      <c r="K27" s="4">
        <v>0.021111</v>
      </c>
      <c r="L27" s="4">
        <v>0.000453</v>
      </c>
      <c r="M27" s="4">
        <v>0.004232</v>
      </c>
      <c r="N27" s="4">
        <v>0.000353</v>
      </c>
      <c r="O27" s="5">
        <v>0</v>
      </c>
      <c r="P27" s="5">
        <v>49.339914</v>
      </c>
      <c r="Q27" s="4">
        <v>0.002167</v>
      </c>
      <c r="R27" s="4">
        <v>0</v>
      </c>
      <c r="S27">
        <f t="shared" si="0"/>
        <v>50.656659</v>
      </c>
    </row>
    <row r="28" spans="1:19">
      <c r="A28" s="8" t="s">
        <v>45</v>
      </c>
      <c r="B28" s="4">
        <v>0.917938</v>
      </c>
      <c r="C28" s="4">
        <v>0.166258</v>
      </c>
      <c r="D28" s="4">
        <v>0.264663</v>
      </c>
      <c r="E28" s="6">
        <v>32.064133</v>
      </c>
      <c r="F28" s="4">
        <v>0.025357</v>
      </c>
      <c r="G28" s="4">
        <v>0.045189</v>
      </c>
      <c r="H28" s="6">
        <v>17.525723</v>
      </c>
      <c r="I28" s="4">
        <v>0.000803</v>
      </c>
      <c r="J28" s="4">
        <v>0.000236</v>
      </c>
      <c r="K28" s="4">
        <v>0.034375</v>
      </c>
      <c r="L28" s="4">
        <v>0.00255</v>
      </c>
      <c r="M28" s="4">
        <v>0.005241</v>
      </c>
      <c r="N28" s="4">
        <v>0.000425</v>
      </c>
      <c r="O28" s="5">
        <v>0</v>
      </c>
      <c r="P28" s="5">
        <v>48.944891</v>
      </c>
      <c r="Q28" s="4">
        <v>0.00203</v>
      </c>
      <c r="R28" s="4">
        <v>0.000189</v>
      </c>
      <c r="S28">
        <f t="shared" si="0"/>
        <v>51.048877</v>
      </c>
    </row>
    <row r="29" spans="1:19">
      <c r="A29" s="4" t="s">
        <v>46</v>
      </c>
      <c r="B29" s="4">
        <v>56.849549</v>
      </c>
      <c r="C29" s="4">
        <v>6.087678</v>
      </c>
      <c r="D29" s="4">
        <v>7.512518</v>
      </c>
      <c r="E29" s="4">
        <v>19.551013</v>
      </c>
      <c r="F29" s="4">
        <v>0.835016</v>
      </c>
      <c r="G29" s="4">
        <v>1.731688</v>
      </c>
      <c r="H29" s="4">
        <v>6.352986</v>
      </c>
      <c r="I29" s="4">
        <v>0.000239</v>
      </c>
      <c r="J29" s="4">
        <v>0.000477</v>
      </c>
      <c r="K29" s="4">
        <v>0.999512</v>
      </c>
      <c r="L29" s="4">
        <v>0.032589</v>
      </c>
      <c r="M29" s="4">
        <v>0</v>
      </c>
      <c r="N29" s="4">
        <v>0.005491</v>
      </c>
      <c r="O29" s="5">
        <v>0.041064</v>
      </c>
      <c r="P29" s="5">
        <v>0</v>
      </c>
      <c r="Q29" s="4">
        <v>0</v>
      </c>
      <c r="R29" s="4">
        <v>0.000179</v>
      </c>
      <c r="S29">
        <f t="shared" si="0"/>
        <v>99.91996</v>
      </c>
    </row>
    <row r="30" spans="1:19">
      <c r="A30" s="4" t="s">
        <v>47</v>
      </c>
      <c r="B30" s="4">
        <v>54.054809</v>
      </c>
      <c r="C30" s="4">
        <v>14.171343</v>
      </c>
      <c r="D30" s="4">
        <v>6.357468</v>
      </c>
      <c r="E30" s="4">
        <v>4.853013</v>
      </c>
      <c r="F30" s="4">
        <v>1.896353</v>
      </c>
      <c r="G30" s="4">
        <v>4.123242</v>
      </c>
      <c r="H30" s="4">
        <v>14.195958</v>
      </c>
      <c r="I30" s="4">
        <v>0.089883</v>
      </c>
      <c r="J30" s="4">
        <v>0.03071</v>
      </c>
      <c r="K30" s="4">
        <v>0.103374</v>
      </c>
      <c r="L30" s="4">
        <v>0.00716</v>
      </c>
      <c r="M30" s="4">
        <v>0.005207</v>
      </c>
      <c r="N30" s="4">
        <v>0.110889</v>
      </c>
      <c r="O30" s="5">
        <v>0</v>
      </c>
      <c r="P30" s="5">
        <v>0</v>
      </c>
      <c r="Q30" s="4">
        <v>0</v>
      </c>
      <c r="R30" s="4">
        <v>0.000592</v>
      </c>
      <c r="S30">
        <f t="shared" si="0"/>
        <v>99.760767</v>
      </c>
    </row>
    <row r="31" spans="1:19">
      <c r="A31" s="4" t="s">
        <v>48</v>
      </c>
      <c r="B31" s="4">
        <v>46.904766</v>
      </c>
      <c r="C31" s="4">
        <v>10.206698</v>
      </c>
      <c r="D31" s="4">
        <v>11.067177</v>
      </c>
      <c r="E31" s="4">
        <v>5.041839</v>
      </c>
      <c r="F31" s="4">
        <v>1.149351</v>
      </c>
      <c r="G31" s="4">
        <v>3.00915</v>
      </c>
      <c r="H31" s="4">
        <v>21.567739</v>
      </c>
      <c r="I31" s="4">
        <v>0</v>
      </c>
      <c r="J31" s="4">
        <v>0</v>
      </c>
      <c r="K31" s="4">
        <v>0</v>
      </c>
      <c r="L31" s="4">
        <v>0.007098</v>
      </c>
      <c r="M31" s="4">
        <v>0</v>
      </c>
      <c r="N31" s="4">
        <v>1.04546</v>
      </c>
      <c r="O31" s="5">
        <v>0</v>
      </c>
      <c r="P31" s="5">
        <v>0</v>
      </c>
      <c r="Q31" s="4">
        <v>0</v>
      </c>
      <c r="R31" s="4">
        <v>0.000722</v>
      </c>
      <c r="S31">
        <f t="shared" si="0"/>
        <v>98.94672</v>
      </c>
    </row>
    <row r="32" spans="1:19">
      <c r="A32" s="4" t="s">
        <v>49</v>
      </c>
      <c r="B32" s="4">
        <v>30.24967</v>
      </c>
      <c r="C32" s="4">
        <v>5.281115</v>
      </c>
      <c r="D32" s="4">
        <v>28.838591</v>
      </c>
      <c r="E32" s="4">
        <v>3.015799</v>
      </c>
      <c r="F32" s="4">
        <v>0.478497</v>
      </c>
      <c r="G32" s="4">
        <v>1.474498</v>
      </c>
      <c r="H32" s="4">
        <v>23.781302</v>
      </c>
      <c r="I32" s="4">
        <v>0.091878</v>
      </c>
      <c r="J32" s="4">
        <v>0</v>
      </c>
      <c r="K32" s="4">
        <v>0.073635</v>
      </c>
      <c r="L32" s="4">
        <v>0.01015</v>
      </c>
      <c r="M32" s="4">
        <v>0</v>
      </c>
      <c r="N32" s="4">
        <v>6.70241</v>
      </c>
      <c r="O32" s="5">
        <v>0</v>
      </c>
      <c r="P32" s="5">
        <v>0</v>
      </c>
      <c r="Q32" s="4">
        <v>0</v>
      </c>
      <c r="R32" s="4">
        <v>0.002455</v>
      </c>
      <c r="S32">
        <f t="shared" si="0"/>
        <v>93.193107</v>
      </c>
    </row>
    <row r="33" spans="1:19">
      <c r="A33" s="4" t="s">
        <v>50</v>
      </c>
      <c r="B33" s="4">
        <v>19.55271</v>
      </c>
      <c r="C33" s="4">
        <v>1.694777</v>
      </c>
      <c r="D33" s="4">
        <v>50.367906</v>
      </c>
      <c r="E33" s="4">
        <v>1.719803</v>
      </c>
      <c r="F33" s="4">
        <v>0.106339</v>
      </c>
      <c r="G33" s="4">
        <v>0.58948</v>
      </c>
      <c r="H33" s="4">
        <v>12.995592</v>
      </c>
      <c r="I33" s="4">
        <v>0.071918</v>
      </c>
      <c r="J33" s="4">
        <v>0</v>
      </c>
      <c r="K33" s="4">
        <v>0.043899</v>
      </c>
      <c r="L33" s="4">
        <v>0.016545</v>
      </c>
      <c r="M33" s="4">
        <v>0.072916</v>
      </c>
      <c r="N33" s="4">
        <v>12.763292</v>
      </c>
      <c r="O33" s="5">
        <v>0</v>
      </c>
      <c r="P33" s="5">
        <v>0</v>
      </c>
      <c r="Q33" s="4">
        <v>0</v>
      </c>
      <c r="R33" s="4">
        <v>0.004822</v>
      </c>
      <c r="S33">
        <f t="shared" si="0"/>
        <v>87.143422</v>
      </c>
    </row>
    <row r="34" spans="1:19">
      <c r="A34" s="4" t="s">
        <v>51</v>
      </c>
      <c r="B34" s="6">
        <v>65.583706</v>
      </c>
      <c r="C34" s="6">
        <v>17.300343</v>
      </c>
      <c r="D34" s="6">
        <v>5.24173</v>
      </c>
      <c r="E34" s="6">
        <v>1.69487</v>
      </c>
      <c r="F34" s="7">
        <v>5.112881</v>
      </c>
      <c r="G34" s="4">
        <v>1.371245</v>
      </c>
      <c r="H34" s="6">
        <v>2.406168</v>
      </c>
      <c r="I34" s="4">
        <v>0</v>
      </c>
      <c r="J34" s="7">
        <v>0.259825</v>
      </c>
      <c r="K34" s="6">
        <v>0.10358</v>
      </c>
      <c r="L34" s="6">
        <v>0.79405</v>
      </c>
      <c r="M34" s="4">
        <v>0</v>
      </c>
      <c r="N34" s="4">
        <v>0</v>
      </c>
      <c r="O34" s="5">
        <v>0.001814</v>
      </c>
      <c r="P34" s="5">
        <v>0</v>
      </c>
      <c r="Q34" s="4">
        <v>0</v>
      </c>
      <c r="R34" s="4">
        <v>0.129788</v>
      </c>
      <c r="S34">
        <f t="shared" si="0"/>
        <v>98.814523</v>
      </c>
    </row>
    <row r="35" spans="1:19">
      <c r="A35" s="4" t="s">
        <v>52</v>
      </c>
      <c r="B35" s="6">
        <v>54.667855</v>
      </c>
      <c r="C35" s="6">
        <v>15.066141</v>
      </c>
      <c r="D35" s="6">
        <v>10.314829</v>
      </c>
      <c r="E35" s="6">
        <v>5.747437</v>
      </c>
      <c r="F35" s="7">
        <v>4.512875</v>
      </c>
      <c r="G35" s="4">
        <v>0.53091</v>
      </c>
      <c r="H35" s="6">
        <v>2.364409</v>
      </c>
      <c r="I35" s="4">
        <v>0</v>
      </c>
      <c r="J35" s="6">
        <v>1.13307</v>
      </c>
      <c r="K35" s="6">
        <v>0.474336</v>
      </c>
      <c r="L35" s="6">
        <v>4.468232</v>
      </c>
      <c r="M35" s="4">
        <v>0</v>
      </c>
      <c r="N35" s="4">
        <v>0</v>
      </c>
      <c r="O35" s="5">
        <v>0.001714</v>
      </c>
      <c r="P35" s="5">
        <v>0</v>
      </c>
      <c r="Q35" s="4">
        <v>0</v>
      </c>
      <c r="R35" s="4">
        <v>0.71819</v>
      </c>
      <c r="S35">
        <f t="shared" si="0"/>
        <v>93.678792</v>
      </c>
    </row>
    <row r="36" spans="1:19">
      <c r="A36" s="4" t="s">
        <v>53</v>
      </c>
      <c r="B36" s="6">
        <v>44.932695</v>
      </c>
      <c r="C36" s="6">
        <v>10.173444</v>
      </c>
      <c r="D36" s="6">
        <v>13.574434</v>
      </c>
      <c r="E36" s="6">
        <v>20.396429</v>
      </c>
      <c r="F36" s="7">
        <v>2.527352</v>
      </c>
      <c r="G36" s="4">
        <v>1.156981</v>
      </c>
      <c r="H36" s="6">
        <v>3.843993</v>
      </c>
      <c r="I36" s="4">
        <v>0</v>
      </c>
      <c r="J36" s="6">
        <v>2.930058</v>
      </c>
      <c r="K36" s="4">
        <v>0.291722</v>
      </c>
      <c r="L36" s="4">
        <v>0.145429</v>
      </c>
      <c r="M36" s="4">
        <v>0</v>
      </c>
      <c r="N36" s="4">
        <v>0</v>
      </c>
      <c r="O36" s="5">
        <v>0.009509</v>
      </c>
      <c r="P36" s="5">
        <v>0</v>
      </c>
      <c r="Q36" s="4">
        <v>0</v>
      </c>
      <c r="R36" s="4">
        <v>0.017954</v>
      </c>
      <c r="S36">
        <f t="shared" si="0"/>
        <v>96.89705</v>
      </c>
    </row>
    <row r="37" spans="1:19">
      <c r="A37" s="4" t="s">
        <v>54</v>
      </c>
      <c r="B37" s="6">
        <v>22.72825</v>
      </c>
      <c r="C37" s="6">
        <v>4.74963</v>
      </c>
      <c r="D37" s="6">
        <v>33.997156</v>
      </c>
      <c r="E37" s="6">
        <v>11.229094</v>
      </c>
      <c r="F37" s="4">
        <v>1.605457</v>
      </c>
      <c r="G37" s="4">
        <v>0.092701</v>
      </c>
      <c r="H37" s="6">
        <v>1.418796</v>
      </c>
      <c r="I37" s="4">
        <v>0</v>
      </c>
      <c r="J37" s="4">
        <v>0.146365</v>
      </c>
      <c r="K37" s="4">
        <v>1.040244</v>
      </c>
      <c r="L37" s="6">
        <v>20.594002</v>
      </c>
      <c r="M37" s="4">
        <v>0</v>
      </c>
      <c r="N37" s="4">
        <v>0</v>
      </c>
      <c r="O37" s="5">
        <v>0</v>
      </c>
      <c r="P37" s="5">
        <v>0</v>
      </c>
      <c r="Q37" s="4">
        <v>0</v>
      </c>
      <c r="R37" s="4">
        <v>2.398305</v>
      </c>
      <c r="S37">
        <f t="shared" si="0"/>
        <v>76.861328</v>
      </c>
    </row>
    <row r="38" spans="1:19">
      <c r="A38" s="4" t="s">
        <v>55</v>
      </c>
      <c r="B38" s="4">
        <v>2.007048</v>
      </c>
      <c r="C38" s="4">
        <v>0.93953</v>
      </c>
      <c r="D38" s="6">
        <v>38.091726</v>
      </c>
      <c r="E38" s="6">
        <v>0.632499</v>
      </c>
      <c r="F38" s="4">
        <v>0.226728</v>
      </c>
      <c r="G38" s="4">
        <v>0.069312</v>
      </c>
      <c r="H38" s="4">
        <v>0.145893</v>
      </c>
      <c r="I38" s="4">
        <v>0</v>
      </c>
      <c r="J38" s="4">
        <v>0.078176</v>
      </c>
      <c r="K38" s="4">
        <v>0.00975</v>
      </c>
      <c r="L38" s="6">
        <v>8.947514</v>
      </c>
      <c r="M38" s="4">
        <v>0</v>
      </c>
      <c r="N38" s="4">
        <v>0</v>
      </c>
      <c r="O38" s="5">
        <v>0</v>
      </c>
      <c r="P38" s="5">
        <v>0</v>
      </c>
      <c r="Q38" s="4">
        <v>0</v>
      </c>
      <c r="R38" s="6">
        <v>48.851824</v>
      </c>
      <c r="S38">
        <f t="shared" si="0"/>
        <v>42.122486</v>
      </c>
    </row>
    <row r="39" spans="1:19">
      <c r="A39" s="4" t="s">
        <v>56</v>
      </c>
      <c r="B39" s="6">
        <v>5.297589</v>
      </c>
      <c r="C39" s="6">
        <v>1.099273</v>
      </c>
      <c r="D39" s="6">
        <v>11.237672</v>
      </c>
      <c r="E39" s="6">
        <v>1.681074</v>
      </c>
      <c r="F39" s="4">
        <v>0.374281</v>
      </c>
      <c r="G39" s="4">
        <v>0</v>
      </c>
      <c r="H39" s="7">
        <v>0.206046</v>
      </c>
      <c r="I39" s="4">
        <v>0</v>
      </c>
      <c r="J39" s="4">
        <v>0.213314</v>
      </c>
      <c r="K39" s="4">
        <v>0.044686</v>
      </c>
      <c r="L39" s="6">
        <v>79.163499</v>
      </c>
      <c r="M39" s="4">
        <v>0</v>
      </c>
      <c r="N39" s="4">
        <v>0</v>
      </c>
      <c r="O39" s="5">
        <v>0</v>
      </c>
      <c r="P39" s="5">
        <v>0</v>
      </c>
      <c r="Q39" s="4">
        <v>0</v>
      </c>
      <c r="R39" s="4">
        <v>0.682565</v>
      </c>
      <c r="S39">
        <f t="shared" si="0"/>
        <v>19.940621</v>
      </c>
    </row>
    <row r="40" spans="1:19">
      <c r="A40" s="4" t="s">
        <v>57</v>
      </c>
      <c r="B40" s="4">
        <v>4.271852</v>
      </c>
      <c r="C40" s="4">
        <v>14.932389</v>
      </c>
      <c r="D40" s="4">
        <v>12.882624</v>
      </c>
      <c r="E40" s="4">
        <v>0.40341</v>
      </c>
      <c r="F40" s="4">
        <v>0.146906</v>
      </c>
      <c r="G40" s="4">
        <v>0.051968</v>
      </c>
      <c r="H40" s="4">
        <v>24.446303</v>
      </c>
      <c r="I40" s="4">
        <v>40.930422</v>
      </c>
      <c r="J40" s="4">
        <v>0</v>
      </c>
      <c r="K40" s="4">
        <v>0.247381</v>
      </c>
      <c r="L40" s="4">
        <v>0</v>
      </c>
      <c r="M40" s="4">
        <v>0.05505</v>
      </c>
      <c r="N40" s="4">
        <v>0.117902</v>
      </c>
      <c r="O40" s="5">
        <v>0</v>
      </c>
      <c r="P40" s="5">
        <v>1.513793</v>
      </c>
      <c r="Q40" s="4">
        <v>0</v>
      </c>
      <c r="R40" s="4">
        <v>0</v>
      </c>
      <c r="S40">
        <f t="shared" si="0"/>
        <v>57.437883</v>
      </c>
    </row>
    <row r="41" spans="1:19">
      <c r="A41" s="4" t="s">
        <v>58</v>
      </c>
      <c r="B41" s="4">
        <v>64.730252</v>
      </c>
      <c r="C41" s="4">
        <v>17.279298</v>
      </c>
      <c r="D41" s="4">
        <v>4.038573</v>
      </c>
      <c r="E41" s="4">
        <v>1.905245</v>
      </c>
      <c r="F41" s="4">
        <v>3.416581</v>
      </c>
      <c r="G41" s="4">
        <v>3.326801</v>
      </c>
      <c r="H41" s="4">
        <v>2.788934</v>
      </c>
      <c r="I41" s="4">
        <v>0.007642</v>
      </c>
      <c r="J41" s="4">
        <v>0.00205</v>
      </c>
      <c r="K41" s="4">
        <v>0.199068</v>
      </c>
      <c r="L41" s="4">
        <v>0.064616</v>
      </c>
      <c r="M41" s="4">
        <v>0.626901</v>
      </c>
      <c r="N41" s="4">
        <v>0.002112</v>
      </c>
      <c r="O41" s="5">
        <v>0</v>
      </c>
      <c r="P41" s="5">
        <v>1.577691</v>
      </c>
      <c r="Q41" s="4">
        <v>0.031314</v>
      </c>
      <c r="R41" s="4">
        <v>0.00292</v>
      </c>
      <c r="S41">
        <f t="shared" si="0"/>
        <v>98.311653</v>
      </c>
    </row>
    <row r="42" spans="1:19">
      <c r="A42" s="4" t="s">
        <v>59</v>
      </c>
      <c r="B42" s="4">
        <v>57.219693</v>
      </c>
      <c r="C42" s="4">
        <v>27.682606</v>
      </c>
      <c r="D42" s="4">
        <v>10.336129</v>
      </c>
      <c r="E42" s="4">
        <v>0.115889</v>
      </c>
      <c r="F42" s="4">
        <v>2.082529</v>
      </c>
      <c r="G42" s="4">
        <v>0.253163</v>
      </c>
      <c r="H42" s="4">
        <v>0.987539</v>
      </c>
      <c r="I42" s="4">
        <v>0.015107</v>
      </c>
      <c r="J42" s="4">
        <v>0.014388</v>
      </c>
      <c r="K42" s="4">
        <v>0.16193</v>
      </c>
      <c r="L42" s="4">
        <v>0.050031</v>
      </c>
      <c r="M42" s="4">
        <v>0.85942</v>
      </c>
      <c r="N42" s="4">
        <v>0.004447</v>
      </c>
      <c r="O42" s="5">
        <v>0</v>
      </c>
      <c r="P42" s="5">
        <v>0.147019</v>
      </c>
      <c r="Q42" s="4">
        <v>0.052778</v>
      </c>
      <c r="R42" s="4">
        <v>0.017331</v>
      </c>
      <c r="S42">
        <f t="shared" si="0"/>
        <v>99.698898</v>
      </c>
    </row>
    <row r="43" spans="1:19">
      <c r="A43" s="6" t="s">
        <v>60</v>
      </c>
      <c r="B43" s="4">
        <v>38.343751</v>
      </c>
      <c r="C43" s="4">
        <v>40.450729</v>
      </c>
      <c r="D43" s="4">
        <v>16.559385</v>
      </c>
      <c r="E43" s="4">
        <v>0.200443</v>
      </c>
      <c r="F43" s="4">
        <v>0.299255</v>
      </c>
      <c r="G43" s="4">
        <v>0.18085</v>
      </c>
      <c r="H43" s="4">
        <v>0.452336</v>
      </c>
      <c r="I43" s="4">
        <v>0.055608</v>
      </c>
      <c r="J43" s="4">
        <v>0.010783</v>
      </c>
      <c r="K43" s="4">
        <v>0.228353</v>
      </c>
      <c r="L43" s="4">
        <v>0.015294</v>
      </c>
      <c r="M43" s="4">
        <v>2.974225</v>
      </c>
      <c r="N43" s="4">
        <v>0.033125</v>
      </c>
      <c r="O43" s="5">
        <v>0</v>
      </c>
      <c r="P43" s="5">
        <v>0.176057</v>
      </c>
      <c r="Q43" s="4">
        <v>0.019311</v>
      </c>
      <c r="R43" s="4">
        <v>0.000493</v>
      </c>
      <c r="S43">
        <f t="shared" si="0"/>
        <v>99.689327</v>
      </c>
    </row>
    <row r="44" spans="1:19">
      <c r="A44" s="4" t="s">
        <v>61</v>
      </c>
      <c r="B44" s="6">
        <v>12.478375</v>
      </c>
      <c r="C44" s="6">
        <v>13.660996</v>
      </c>
      <c r="D44" s="6">
        <v>9.083909</v>
      </c>
      <c r="E44" s="6">
        <v>0.348507</v>
      </c>
      <c r="F44" s="4">
        <v>0.032897</v>
      </c>
      <c r="G44" s="4">
        <v>0.143899</v>
      </c>
      <c r="H44" s="6">
        <v>35.442712</v>
      </c>
      <c r="I44" s="4">
        <v>27.762265</v>
      </c>
      <c r="J44" s="4">
        <v>0</v>
      </c>
      <c r="K44" s="4">
        <v>0.100344</v>
      </c>
      <c r="L44" s="4">
        <v>0</v>
      </c>
      <c r="M44" s="4">
        <v>0.127972</v>
      </c>
      <c r="N44" s="4">
        <v>0.180594</v>
      </c>
      <c r="O44" s="5">
        <v>0</v>
      </c>
      <c r="P44" s="5">
        <v>0.637531</v>
      </c>
      <c r="Q44" s="4">
        <v>0</v>
      </c>
      <c r="R44" s="4">
        <v>0</v>
      </c>
      <c r="S44">
        <f t="shared" si="0"/>
        <v>71.419611</v>
      </c>
    </row>
    <row r="45" spans="1:19">
      <c r="A45" s="6" t="s">
        <v>62</v>
      </c>
      <c r="B45" s="4">
        <v>3.085974</v>
      </c>
      <c r="C45" s="4">
        <v>9.524287</v>
      </c>
      <c r="D45" s="4">
        <v>66.370448</v>
      </c>
      <c r="E45" s="4">
        <v>1.260456</v>
      </c>
      <c r="F45" s="4">
        <v>0.04597</v>
      </c>
      <c r="G45" s="4">
        <v>0.14657</v>
      </c>
      <c r="H45" s="4">
        <v>5.460316</v>
      </c>
      <c r="I45" s="4">
        <v>0</v>
      </c>
      <c r="J45" s="4">
        <v>0.019341</v>
      </c>
      <c r="K45" s="4">
        <v>0.242984</v>
      </c>
      <c r="L45" s="4">
        <v>0.055207</v>
      </c>
      <c r="M45" s="4">
        <v>11.664594</v>
      </c>
      <c r="N45" s="4">
        <v>0.074981</v>
      </c>
      <c r="O45" s="5">
        <v>0</v>
      </c>
      <c r="P45" s="5">
        <v>2.048872</v>
      </c>
      <c r="Q45" s="4">
        <v>0</v>
      </c>
      <c r="R45" s="4">
        <v>0</v>
      </c>
      <c r="S45">
        <f t="shared" si="0"/>
        <v>97.801599</v>
      </c>
    </row>
    <row r="48" spans="1:19">
      <c r="A48" s="4" t="s">
        <v>19</v>
      </c>
      <c r="B48" s="4">
        <v>55.093319</v>
      </c>
      <c r="C48" s="4">
        <v>21.46813</v>
      </c>
      <c r="D48" s="4">
        <v>1.148571</v>
      </c>
      <c r="E48" s="4">
        <v>0.505339</v>
      </c>
      <c r="F48" s="4">
        <v>5.864155</v>
      </c>
      <c r="G48" s="4">
        <v>15.799952</v>
      </c>
      <c r="H48" s="4">
        <v>0</v>
      </c>
      <c r="I48" s="4">
        <v>0</v>
      </c>
      <c r="J48" s="4">
        <v>0</v>
      </c>
      <c r="K48" s="4">
        <v>0.038431</v>
      </c>
      <c r="L48" s="4">
        <v>0</v>
      </c>
      <c r="M48" s="4">
        <v>0.082103</v>
      </c>
      <c r="N48" s="4">
        <v>0</v>
      </c>
      <c r="O48" s="5">
        <v>0</v>
      </c>
      <c r="P48" s="5">
        <v>0</v>
      </c>
      <c r="Q48" s="4">
        <v>0</v>
      </c>
      <c r="R48" s="4">
        <v>0</v>
      </c>
      <c r="S48" s="9"/>
    </row>
    <row r="49" spans="1:32">
      <c r="A49" s="9"/>
      <c r="B49" s="9">
        <f>B48*0.95</f>
        <v>52.33865305</v>
      </c>
      <c r="C49" s="9">
        <f t="shared" ref="C49:R49" si="1">C48*0.95</f>
        <v>20.3947235</v>
      </c>
      <c r="D49" s="9">
        <f t="shared" si="1"/>
        <v>1.09114245</v>
      </c>
      <c r="E49" s="9">
        <f t="shared" si="1"/>
        <v>0.48007205</v>
      </c>
      <c r="F49" s="9">
        <f t="shared" si="1"/>
        <v>5.57094725</v>
      </c>
      <c r="G49" s="9">
        <f t="shared" si="1"/>
        <v>15.0099544</v>
      </c>
      <c r="H49" s="9">
        <f t="shared" si="1"/>
        <v>0</v>
      </c>
      <c r="I49" s="9">
        <f t="shared" si="1"/>
        <v>0</v>
      </c>
      <c r="J49" s="9">
        <f t="shared" si="1"/>
        <v>0</v>
      </c>
      <c r="K49" s="9">
        <f t="shared" si="1"/>
        <v>0.03650945</v>
      </c>
      <c r="L49" s="9">
        <f t="shared" si="1"/>
        <v>0</v>
      </c>
      <c r="M49" s="9">
        <f t="shared" si="1"/>
        <v>0.07799785</v>
      </c>
      <c r="N49" s="9">
        <f t="shared" si="1"/>
        <v>0</v>
      </c>
      <c r="O49" s="9">
        <f t="shared" si="1"/>
        <v>0</v>
      </c>
      <c r="P49" s="9">
        <f t="shared" si="1"/>
        <v>0</v>
      </c>
      <c r="Q49" s="9">
        <f t="shared" si="1"/>
        <v>0</v>
      </c>
      <c r="R49" s="9">
        <f t="shared" si="1"/>
        <v>0</v>
      </c>
      <c r="S49" s="9"/>
    </row>
    <row r="50" spans="1:3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32">
      <c r="A51" s="4" t="s">
        <v>27</v>
      </c>
      <c r="B51" s="4">
        <v>3.261095</v>
      </c>
      <c r="C51" s="4">
        <v>0.444072</v>
      </c>
      <c r="D51" s="4">
        <v>0.281221</v>
      </c>
      <c r="E51" s="4">
        <v>48.8054</v>
      </c>
      <c r="F51" s="4">
        <v>0.051106</v>
      </c>
      <c r="G51" s="4">
        <v>0.03159</v>
      </c>
      <c r="H51" s="4">
        <v>47.092474</v>
      </c>
      <c r="I51" s="4">
        <v>0</v>
      </c>
      <c r="J51" s="4">
        <v>0</v>
      </c>
      <c r="K51" s="4">
        <v>0.019789</v>
      </c>
      <c r="L51" s="4">
        <v>0</v>
      </c>
      <c r="M51" s="4">
        <v>0.013253</v>
      </c>
      <c r="N51" s="4">
        <v>0</v>
      </c>
      <c r="O51" s="5">
        <v>0</v>
      </c>
      <c r="P51" s="5">
        <v>0</v>
      </c>
      <c r="Q51" s="4">
        <v>0</v>
      </c>
      <c r="R51" s="4">
        <v>0</v>
      </c>
    </row>
    <row r="52" spans="1:32">
      <c r="A52" s="9"/>
      <c r="B52" s="9">
        <f>B51*0.95</f>
        <v>3.09804025</v>
      </c>
      <c r="C52" s="9">
        <f t="shared" ref="C52:R52" si="2">C51*0.95</f>
        <v>0.4218684</v>
      </c>
      <c r="D52" s="9">
        <f t="shared" si="2"/>
        <v>0.26715995</v>
      </c>
      <c r="E52" s="9">
        <f t="shared" si="2"/>
        <v>46.36513</v>
      </c>
      <c r="F52" s="9">
        <f t="shared" si="2"/>
        <v>0.0485507</v>
      </c>
      <c r="G52" s="9">
        <f t="shared" si="2"/>
        <v>0.0300105</v>
      </c>
      <c r="H52" s="9">
        <f t="shared" si="2"/>
        <v>44.7378503</v>
      </c>
      <c r="I52" s="9">
        <f t="shared" si="2"/>
        <v>0</v>
      </c>
      <c r="J52" s="9">
        <f t="shared" si="2"/>
        <v>0</v>
      </c>
      <c r="K52" s="9">
        <f t="shared" si="2"/>
        <v>0.01879955</v>
      </c>
      <c r="L52" s="9">
        <f t="shared" si="2"/>
        <v>0</v>
      </c>
      <c r="M52" s="9">
        <f t="shared" si="2"/>
        <v>0.01259035</v>
      </c>
      <c r="N52" s="9">
        <f t="shared" si="2"/>
        <v>0</v>
      </c>
      <c r="O52" s="9">
        <f t="shared" si="2"/>
        <v>0</v>
      </c>
      <c r="P52" s="9">
        <f t="shared" si="2"/>
        <v>0</v>
      </c>
      <c r="Q52" s="9">
        <f t="shared" si="2"/>
        <v>0</v>
      </c>
      <c r="R52" s="9">
        <f t="shared" si="2"/>
        <v>0</v>
      </c>
      <c r="S52" s="9"/>
    </row>
    <row r="53" spans="1:3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32">
      <c r="A54" s="4" t="s">
        <v>18</v>
      </c>
      <c r="B54" s="4">
        <v>60.961919</v>
      </c>
      <c r="C54" s="4">
        <v>20.201434</v>
      </c>
      <c r="D54" s="4">
        <v>0.13168</v>
      </c>
      <c r="E54" s="4">
        <v>0.749008</v>
      </c>
      <c r="F54" s="4">
        <v>11.267515</v>
      </c>
      <c r="G54" s="4">
        <v>6.581364</v>
      </c>
      <c r="H54" s="4">
        <v>0.073911</v>
      </c>
      <c r="I54" s="4">
        <v>0</v>
      </c>
      <c r="J54" s="4">
        <v>0</v>
      </c>
      <c r="K54" s="4">
        <v>0</v>
      </c>
      <c r="L54" s="4">
        <v>0</v>
      </c>
      <c r="M54" s="4">
        <v>0.033169</v>
      </c>
      <c r="N54" s="4">
        <v>0</v>
      </c>
      <c r="O54" s="5">
        <v>0</v>
      </c>
      <c r="P54" s="5">
        <v>0</v>
      </c>
      <c r="Q54" s="4">
        <v>0</v>
      </c>
      <c r="R54" s="4">
        <v>0</v>
      </c>
    </row>
    <row r="55" spans="1:32">
      <c r="A55" s="9"/>
      <c r="B55" s="9">
        <f>B54*0.95</f>
        <v>57.91382305</v>
      </c>
      <c r="C55" s="9">
        <f t="shared" ref="C55:R55" si="3">C54*0.95</f>
        <v>19.1913623</v>
      </c>
      <c r="D55" s="9">
        <f t="shared" si="3"/>
        <v>0.125096</v>
      </c>
      <c r="E55" s="9">
        <f t="shared" si="3"/>
        <v>0.7115576</v>
      </c>
      <c r="F55" s="9">
        <f t="shared" si="3"/>
        <v>10.70413925</v>
      </c>
      <c r="G55" s="9">
        <f t="shared" si="3"/>
        <v>6.2522958</v>
      </c>
      <c r="H55" s="9">
        <f t="shared" si="3"/>
        <v>0.07021545</v>
      </c>
      <c r="I55" s="9">
        <f t="shared" si="3"/>
        <v>0</v>
      </c>
      <c r="J55" s="9">
        <f t="shared" si="3"/>
        <v>0</v>
      </c>
      <c r="K55" s="9">
        <f t="shared" si="3"/>
        <v>0</v>
      </c>
      <c r="L55" s="9">
        <f t="shared" si="3"/>
        <v>0</v>
      </c>
      <c r="M55" s="9">
        <f t="shared" si="3"/>
        <v>0.03151055</v>
      </c>
      <c r="N55" s="9">
        <f t="shared" si="3"/>
        <v>0</v>
      </c>
      <c r="O55" s="9">
        <f t="shared" si="3"/>
        <v>0</v>
      </c>
      <c r="P55" s="9">
        <f t="shared" si="3"/>
        <v>0</v>
      </c>
      <c r="Q55" s="9">
        <f t="shared" si="3"/>
        <v>0</v>
      </c>
      <c r="R55" s="9">
        <f t="shared" si="3"/>
        <v>0</v>
      </c>
      <c r="S55" s="9"/>
    </row>
    <row r="56" spans="1:3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32">
      <c r="A57" s="4" t="s">
        <v>24</v>
      </c>
      <c r="B57" s="4">
        <v>27.410601</v>
      </c>
      <c r="C57" s="4">
        <v>15.493601</v>
      </c>
      <c r="D57" s="4">
        <v>11.39766</v>
      </c>
      <c r="E57" s="4">
        <v>1.392057</v>
      </c>
      <c r="F57" s="4">
        <v>2.618859</v>
      </c>
      <c r="G57" s="4">
        <v>0.164077</v>
      </c>
      <c r="H57" s="4">
        <v>2.259981</v>
      </c>
      <c r="I57" s="4">
        <v>0</v>
      </c>
      <c r="J57" s="4">
        <v>0</v>
      </c>
      <c r="K57" s="4">
        <v>39.263164</v>
      </c>
      <c r="L57" s="4" t="s">
        <v>25</v>
      </c>
      <c r="M57" s="4">
        <v>0</v>
      </c>
      <c r="N57" s="4">
        <v>0</v>
      </c>
      <c r="O57" s="5">
        <v>0</v>
      </c>
      <c r="P57" s="5">
        <v>0</v>
      </c>
      <c r="Q57" s="4">
        <v>0</v>
      </c>
      <c r="R57" s="4">
        <v>0</v>
      </c>
      <c r="S57" s="9"/>
    </row>
    <row r="58" spans="1:32">
      <c r="A58" s="9"/>
      <c r="B58" s="9">
        <f t="shared" ref="B58:R58" si="4">B57*0.95</f>
        <v>26.04007095</v>
      </c>
      <c r="C58" s="9">
        <f t="shared" si="4"/>
        <v>14.71892095</v>
      </c>
      <c r="D58" s="9">
        <f t="shared" si="4"/>
        <v>10.827777</v>
      </c>
      <c r="E58" s="9">
        <f t="shared" si="4"/>
        <v>1.32245415</v>
      </c>
      <c r="F58" s="9">
        <f t="shared" si="4"/>
        <v>2.48791605</v>
      </c>
      <c r="G58" s="9">
        <f t="shared" si="4"/>
        <v>0.15587315</v>
      </c>
      <c r="H58" s="9">
        <f t="shared" si="4"/>
        <v>2.14698195</v>
      </c>
      <c r="I58" s="9">
        <f t="shared" si="4"/>
        <v>0</v>
      </c>
      <c r="J58" s="9">
        <f t="shared" si="4"/>
        <v>0</v>
      </c>
      <c r="K58" s="9">
        <f t="shared" si="4"/>
        <v>37.3000058</v>
      </c>
      <c r="L58" s="9" t="e">
        <f t="shared" si="4"/>
        <v>#VALUE!</v>
      </c>
      <c r="M58" s="9">
        <f t="shared" si="4"/>
        <v>0</v>
      </c>
      <c r="N58" s="9">
        <f t="shared" si="4"/>
        <v>0</v>
      </c>
      <c r="O58" s="9">
        <f t="shared" si="4"/>
        <v>0</v>
      </c>
      <c r="P58" s="9">
        <f t="shared" si="4"/>
        <v>0</v>
      </c>
      <c r="Q58" s="9">
        <f t="shared" si="4"/>
        <v>0</v>
      </c>
      <c r="R58" s="9">
        <f t="shared" si="4"/>
        <v>0</v>
      </c>
      <c r="S58" s="9"/>
    </row>
    <row r="59" spans="1:3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32">
      <c r="A60" s="4" t="s">
        <v>21</v>
      </c>
      <c r="B60" s="4">
        <v>59.776424</v>
      </c>
      <c r="C60" s="4">
        <v>20.339201</v>
      </c>
      <c r="D60" s="4">
        <v>0.065322</v>
      </c>
      <c r="E60" s="4">
        <v>0.452289</v>
      </c>
      <c r="F60" s="4">
        <v>0.109505</v>
      </c>
      <c r="G60" s="4">
        <v>19.202031</v>
      </c>
      <c r="H60" s="4">
        <v>0.019554</v>
      </c>
      <c r="I60" s="4">
        <v>0</v>
      </c>
      <c r="J60" s="4">
        <v>0</v>
      </c>
      <c r="K60" s="4">
        <v>0</v>
      </c>
      <c r="L60" s="4">
        <v>0</v>
      </c>
      <c r="M60" s="4">
        <v>0.035674</v>
      </c>
      <c r="N60" s="4">
        <v>0</v>
      </c>
      <c r="O60" s="5">
        <v>0</v>
      </c>
      <c r="P60" s="5">
        <v>0</v>
      </c>
      <c r="Q60" s="4">
        <v>0</v>
      </c>
      <c r="R60" s="4">
        <v>0</v>
      </c>
      <c r="S60" s="9"/>
    </row>
    <row r="61" spans="1:32">
      <c r="A61" s="9"/>
      <c r="B61" s="9">
        <f t="shared" ref="B61:R61" si="5">B60*0.95</f>
        <v>56.7876028</v>
      </c>
      <c r="C61" s="9">
        <f t="shared" si="5"/>
        <v>19.32224095</v>
      </c>
      <c r="D61" s="9">
        <f t="shared" si="5"/>
        <v>0.0620559</v>
      </c>
      <c r="E61" s="9">
        <f t="shared" si="5"/>
        <v>0.42967455</v>
      </c>
      <c r="F61" s="9">
        <f t="shared" si="5"/>
        <v>0.10402975</v>
      </c>
      <c r="G61" s="9">
        <f t="shared" si="5"/>
        <v>18.24192945</v>
      </c>
      <c r="H61" s="9">
        <f t="shared" si="5"/>
        <v>0.0185763</v>
      </c>
      <c r="I61" s="9">
        <f t="shared" si="5"/>
        <v>0</v>
      </c>
      <c r="J61" s="9">
        <f t="shared" si="5"/>
        <v>0</v>
      </c>
      <c r="K61" s="9">
        <f t="shared" si="5"/>
        <v>0</v>
      </c>
      <c r="L61" s="9">
        <f t="shared" si="5"/>
        <v>0</v>
      </c>
      <c r="M61" s="9">
        <f t="shared" si="5"/>
        <v>0.0338903</v>
      </c>
      <c r="N61" s="9">
        <f t="shared" si="5"/>
        <v>0</v>
      </c>
      <c r="O61" s="9">
        <f t="shared" si="5"/>
        <v>0</v>
      </c>
      <c r="P61" s="9">
        <f t="shared" si="5"/>
        <v>0</v>
      </c>
      <c r="Q61" s="9">
        <f t="shared" si="5"/>
        <v>0</v>
      </c>
      <c r="R61" s="9">
        <f t="shared" si="5"/>
        <v>0</v>
      </c>
      <c r="S61" s="9"/>
      <c r="AE61" s="1"/>
      <c r="AF61" s="1"/>
    </row>
    <row r="62" spans="1:3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32">
      <c r="A63" s="4" t="s">
        <v>23</v>
      </c>
      <c r="B63" s="4">
        <v>39.012632</v>
      </c>
      <c r="C63" s="4">
        <v>14.457943</v>
      </c>
      <c r="D63" s="4">
        <v>8.96396</v>
      </c>
      <c r="E63" s="4">
        <v>1.476113</v>
      </c>
      <c r="F63" s="4">
        <v>3.087334</v>
      </c>
      <c r="G63" s="4">
        <v>0.126528</v>
      </c>
      <c r="H63" s="4">
        <v>1.737302</v>
      </c>
      <c r="I63" s="4">
        <v>0</v>
      </c>
      <c r="J63" s="4">
        <v>0</v>
      </c>
      <c r="K63" s="4">
        <v>31.138187</v>
      </c>
      <c r="L63" s="4">
        <v>0</v>
      </c>
      <c r="M63" s="4">
        <v>0</v>
      </c>
      <c r="N63" s="4">
        <v>0</v>
      </c>
      <c r="O63" s="5">
        <v>0</v>
      </c>
      <c r="P63" s="5">
        <v>0</v>
      </c>
      <c r="Q63" s="4">
        <v>0</v>
      </c>
      <c r="R63" s="4">
        <v>0</v>
      </c>
      <c r="S63" s="9"/>
    </row>
    <row r="64" spans="1:32">
      <c r="A64" s="9"/>
      <c r="B64" s="9">
        <f t="shared" ref="B64:R64" si="6">B63*0.95</f>
        <v>37.0620004</v>
      </c>
      <c r="C64" s="9">
        <f t="shared" si="6"/>
        <v>13.73504585</v>
      </c>
      <c r="D64" s="9">
        <f t="shared" si="6"/>
        <v>8.515762</v>
      </c>
      <c r="E64" s="9">
        <f t="shared" si="6"/>
        <v>1.40230735</v>
      </c>
      <c r="F64" s="9">
        <f t="shared" si="6"/>
        <v>2.9329673</v>
      </c>
      <c r="G64" s="9">
        <f t="shared" si="6"/>
        <v>0.1202016</v>
      </c>
      <c r="H64" s="9">
        <f t="shared" si="6"/>
        <v>1.6504369</v>
      </c>
      <c r="I64" s="9">
        <f t="shared" si="6"/>
        <v>0</v>
      </c>
      <c r="J64" s="9">
        <f t="shared" si="6"/>
        <v>0</v>
      </c>
      <c r="K64" s="9">
        <f t="shared" si="6"/>
        <v>29.58127765</v>
      </c>
      <c r="L64" s="9">
        <f t="shared" si="6"/>
        <v>0</v>
      </c>
      <c r="M64" s="9">
        <f t="shared" si="6"/>
        <v>0</v>
      </c>
      <c r="N64" s="9">
        <f t="shared" si="6"/>
        <v>0</v>
      </c>
      <c r="O64" s="9">
        <f t="shared" si="6"/>
        <v>0</v>
      </c>
      <c r="P64" s="9">
        <f t="shared" si="6"/>
        <v>0</v>
      </c>
      <c r="Q64" s="9">
        <f t="shared" si="6"/>
        <v>0</v>
      </c>
      <c r="R64" s="9">
        <f t="shared" si="6"/>
        <v>0</v>
      </c>
      <c r="S64" s="9"/>
    </row>
    <row r="65" spans="1:2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2">
      <c r="A66" s="4" t="s">
        <v>46</v>
      </c>
      <c r="B66" s="4">
        <v>56.849549</v>
      </c>
      <c r="C66" s="4">
        <v>6.087678</v>
      </c>
      <c r="D66" s="4">
        <v>7.512518</v>
      </c>
      <c r="E66" s="4">
        <v>19.551013</v>
      </c>
      <c r="F66" s="4">
        <v>0.835016</v>
      </c>
      <c r="G66" s="4">
        <v>1.731688</v>
      </c>
      <c r="H66" s="4">
        <v>6.352986</v>
      </c>
      <c r="I66" s="4">
        <v>0.000239</v>
      </c>
      <c r="J66" s="4">
        <v>0.000477</v>
      </c>
      <c r="K66" s="4">
        <v>0.999512</v>
      </c>
      <c r="L66" s="4">
        <v>0.032589</v>
      </c>
      <c r="M66" s="4">
        <v>0</v>
      </c>
      <c r="N66" s="4">
        <v>0.005491</v>
      </c>
      <c r="O66" s="5">
        <v>0.041064</v>
      </c>
      <c r="P66" s="5">
        <v>0</v>
      </c>
      <c r="Q66" s="4">
        <v>0</v>
      </c>
      <c r="R66" s="4">
        <v>0.000179</v>
      </c>
      <c r="S66" s="9"/>
    </row>
    <row r="67" spans="1:22">
      <c r="A67" s="9"/>
      <c r="B67" s="9">
        <f t="shared" ref="B67:R67" si="7">B66*0.95</f>
        <v>54.00707155</v>
      </c>
      <c r="C67" s="9">
        <f t="shared" si="7"/>
        <v>5.7832941</v>
      </c>
      <c r="D67" s="9">
        <f t="shared" si="7"/>
        <v>7.1368921</v>
      </c>
      <c r="E67" s="9">
        <f t="shared" si="7"/>
        <v>18.57346235</v>
      </c>
      <c r="F67" s="9">
        <f t="shared" si="7"/>
        <v>0.7932652</v>
      </c>
      <c r="G67" s="9">
        <f t="shared" si="7"/>
        <v>1.6451036</v>
      </c>
      <c r="H67" s="9">
        <f t="shared" si="7"/>
        <v>6.0353367</v>
      </c>
      <c r="I67" s="9">
        <f t="shared" si="7"/>
        <v>0.00022705</v>
      </c>
      <c r="J67" s="9">
        <f t="shared" si="7"/>
        <v>0.00045315</v>
      </c>
      <c r="K67" s="9">
        <f t="shared" si="7"/>
        <v>0.9495364</v>
      </c>
      <c r="L67" s="9">
        <f t="shared" si="7"/>
        <v>0.03095955</v>
      </c>
      <c r="M67" s="9">
        <f t="shared" si="7"/>
        <v>0</v>
      </c>
      <c r="N67" s="9">
        <f t="shared" si="7"/>
        <v>0.00521645</v>
      </c>
      <c r="O67" s="9">
        <f t="shared" si="7"/>
        <v>0.0390108</v>
      </c>
      <c r="P67" s="9">
        <f t="shared" si="7"/>
        <v>0</v>
      </c>
      <c r="Q67" s="9">
        <f t="shared" si="7"/>
        <v>0</v>
      </c>
      <c r="R67" s="9">
        <f t="shared" si="7"/>
        <v>0.00017005</v>
      </c>
      <c r="S67" s="9"/>
      <c r="U67" s="1"/>
      <c r="V67" s="1"/>
    </row>
    <row r="68" spans="1:2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2">
      <c r="A69" s="4" t="s">
        <v>41</v>
      </c>
      <c r="B69" s="6">
        <v>73.455597</v>
      </c>
      <c r="C69" s="6">
        <v>14.944521</v>
      </c>
      <c r="D69" s="4">
        <v>0.172732</v>
      </c>
      <c r="E69" s="6">
        <v>0.102946</v>
      </c>
      <c r="F69" s="4">
        <v>7.628672</v>
      </c>
      <c r="G69" s="4">
        <v>2.980227</v>
      </c>
      <c r="H69" s="4">
        <v>0.186134</v>
      </c>
      <c r="I69" s="4">
        <v>0.000462</v>
      </c>
      <c r="J69" s="4">
        <v>0.000347</v>
      </c>
      <c r="K69" s="4">
        <v>0.008088</v>
      </c>
      <c r="L69" s="4">
        <v>0.001791</v>
      </c>
      <c r="M69" s="4">
        <v>0.440495</v>
      </c>
      <c r="N69" s="4">
        <v>0</v>
      </c>
      <c r="O69" s="5">
        <v>0</v>
      </c>
      <c r="P69" s="5">
        <v>0.065395</v>
      </c>
      <c r="Q69" s="4">
        <v>0.011669</v>
      </c>
      <c r="R69" s="4">
        <v>0.000924</v>
      </c>
      <c r="S69" s="9"/>
    </row>
    <row r="70" spans="1:22">
      <c r="A70" s="9"/>
      <c r="B70" s="9">
        <f t="shared" ref="B70:R70" si="8">B69*0.95</f>
        <v>69.78281715</v>
      </c>
      <c r="C70" s="9">
        <f t="shared" si="8"/>
        <v>14.19729495</v>
      </c>
      <c r="D70" s="9">
        <f t="shared" si="8"/>
        <v>0.1640954</v>
      </c>
      <c r="E70" s="9">
        <f t="shared" si="8"/>
        <v>0.0977987</v>
      </c>
      <c r="F70" s="9">
        <f t="shared" si="8"/>
        <v>7.2472384</v>
      </c>
      <c r="G70" s="9">
        <f t="shared" si="8"/>
        <v>2.83121565</v>
      </c>
      <c r="H70" s="9">
        <f t="shared" si="8"/>
        <v>0.1768273</v>
      </c>
      <c r="I70" s="9">
        <f t="shared" si="8"/>
        <v>0.0004389</v>
      </c>
      <c r="J70" s="9">
        <f t="shared" si="8"/>
        <v>0.00032965</v>
      </c>
      <c r="K70" s="9">
        <f t="shared" si="8"/>
        <v>0.0076836</v>
      </c>
      <c r="L70" s="9">
        <f t="shared" si="8"/>
        <v>0.00170145</v>
      </c>
      <c r="M70" s="9">
        <f t="shared" si="8"/>
        <v>0.41847025</v>
      </c>
      <c r="N70" s="9">
        <f t="shared" si="8"/>
        <v>0</v>
      </c>
      <c r="O70" s="9">
        <f t="shared" si="8"/>
        <v>0</v>
      </c>
      <c r="P70" s="9">
        <f t="shared" si="8"/>
        <v>0.06212525</v>
      </c>
      <c r="Q70" s="9">
        <f t="shared" si="8"/>
        <v>0.01108555</v>
      </c>
      <c r="R70" s="9">
        <f t="shared" si="8"/>
        <v>0.0008778</v>
      </c>
      <c r="S70" s="9"/>
    </row>
    <row r="71" spans="1:2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2">
      <c r="A72" s="4" t="s">
        <v>33</v>
      </c>
      <c r="B72" s="6">
        <v>60.772468</v>
      </c>
      <c r="C72" s="6">
        <v>22.757355</v>
      </c>
      <c r="D72" s="6">
        <v>5.867524</v>
      </c>
      <c r="E72" s="6">
        <v>0.658366</v>
      </c>
      <c r="F72" s="4">
        <v>5.444787</v>
      </c>
      <c r="G72" s="4">
        <v>0.694554</v>
      </c>
      <c r="H72" s="6">
        <v>3.074264</v>
      </c>
      <c r="I72" s="4">
        <v>0.011714</v>
      </c>
      <c r="J72" s="4">
        <v>0.004069</v>
      </c>
      <c r="K72" s="4">
        <v>0.01942</v>
      </c>
      <c r="L72" s="4">
        <v>0.005179</v>
      </c>
      <c r="M72" s="4">
        <v>0.50874</v>
      </c>
      <c r="N72" s="4">
        <v>0.003884</v>
      </c>
      <c r="O72" s="5">
        <v>0</v>
      </c>
      <c r="P72" s="5">
        <v>0.13859</v>
      </c>
      <c r="Q72" s="4">
        <v>0.039086</v>
      </c>
      <c r="R72" s="4">
        <v>0</v>
      </c>
      <c r="S72" s="9"/>
    </row>
    <row r="73" spans="1:22">
      <c r="A73" s="9"/>
      <c r="B73" s="9">
        <f t="shared" ref="B73:R73" si="9">B72*0.95</f>
        <v>57.7338446</v>
      </c>
      <c r="C73" s="9">
        <f t="shared" si="9"/>
        <v>21.61948725</v>
      </c>
      <c r="D73" s="9">
        <f t="shared" si="9"/>
        <v>5.5741478</v>
      </c>
      <c r="E73" s="9">
        <f t="shared" si="9"/>
        <v>0.6254477</v>
      </c>
      <c r="F73" s="9">
        <f t="shared" si="9"/>
        <v>5.17254765</v>
      </c>
      <c r="G73" s="9">
        <f t="shared" si="9"/>
        <v>0.6598263</v>
      </c>
      <c r="H73" s="9">
        <f t="shared" si="9"/>
        <v>2.9205508</v>
      </c>
      <c r="I73" s="9">
        <f t="shared" si="9"/>
        <v>0.0111283</v>
      </c>
      <c r="J73" s="9">
        <f t="shared" si="9"/>
        <v>0.00386555</v>
      </c>
      <c r="K73" s="9">
        <f t="shared" si="9"/>
        <v>0.018449</v>
      </c>
      <c r="L73" s="9">
        <f t="shared" si="9"/>
        <v>0.00492005</v>
      </c>
      <c r="M73" s="9">
        <f t="shared" si="9"/>
        <v>0.483303</v>
      </c>
      <c r="N73" s="9">
        <f t="shared" si="9"/>
        <v>0.0036898</v>
      </c>
      <c r="O73" s="9">
        <f t="shared" si="9"/>
        <v>0</v>
      </c>
      <c r="P73" s="9">
        <f t="shared" si="9"/>
        <v>0.1316605</v>
      </c>
      <c r="Q73" s="9">
        <f t="shared" si="9"/>
        <v>0.0371317</v>
      </c>
      <c r="R73" s="9">
        <f t="shared" si="9"/>
        <v>0</v>
      </c>
      <c r="S73" s="9"/>
    </row>
    <row r="74" spans="1:22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2">
      <c r="A75" s="4" t="s">
        <v>36</v>
      </c>
      <c r="B75" s="6">
        <v>56.190019</v>
      </c>
      <c r="C75" s="6">
        <v>18.375333</v>
      </c>
      <c r="D75" s="6">
        <v>4.295228</v>
      </c>
      <c r="E75" s="6">
        <v>4.761218</v>
      </c>
      <c r="F75" s="4">
        <v>4.203354</v>
      </c>
      <c r="G75" s="4">
        <v>7.392133</v>
      </c>
      <c r="H75" s="6">
        <v>3.943006</v>
      </c>
      <c r="I75" s="4">
        <v>0.004017</v>
      </c>
      <c r="J75" s="4">
        <v>0.000735</v>
      </c>
      <c r="K75" s="6">
        <v>0.074167</v>
      </c>
      <c r="L75" s="4">
        <v>0.007354</v>
      </c>
      <c r="M75" s="4">
        <v>0.544852</v>
      </c>
      <c r="N75" s="4">
        <v>0.002319</v>
      </c>
      <c r="O75" s="5">
        <v>0</v>
      </c>
      <c r="P75" s="5">
        <v>0.19263</v>
      </c>
      <c r="Q75" s="4">
        <v>0.013068</v>
      </c>
      <c r="R75" s="4">
        <v>0.000566</v>
      </c>
      <c r="S75" s="9"/>
    </row>
    <row r="76" spans="1:22">
      <c r="B76" s="9">
        <f t="shared" ref="B76:R76" si="10">B75*0.95</f>
        <v>53.38051805</v>
      </c>
      <c r="C76" s="9">
        <f t="shared" si="10"/>
        <v>17.45656635</v>
      </c>
      <c r="D76" s="9">
        <f t="shared" si="10"/>
        <v>4.0804666</v>
      </c>
      <c r="E76" s="9">
        <f t="shared" si="10"/>
        <v>4.5231571</v>
      </c>
      <c r="F76" s="9">
        <f t="shared" si="10"/>
        <v>3.9931863</v>
      </c>
      <c r="G76" s="9">
        <f t="shared" si="10"/>
        <v>7.02252635</v>
      </c>
      <c r="H76" s="9">
        <f t="shared" si="10"/>
        <v>3.7458557</v>
      </c>
      <c r="I76" s="9">
        <f t="shared" si="10"/>
        <v>0.00381615</v>
      </c>
      <c r="J76" s="9">
        <f t="shared" si="10"/>
        <v>0.00069825</v>
      </c>
      <c r="K76" s="9">
        <f t="shared" si="10"/>
        <v>0.07045865</v>
      </c>
      <c r="L76" s="9">
        <f t="shared" si="10"/>
        <v>0.0069863</v>
      </c>
      <c r="M76" s="9">
        <f t="shared" si="10"/>
        <v>0.5176094</v>
      </c>
      <c r="N76" s="9">
        <f t="shared" si="10"/>
        <v>0.00220305</v>
      </c>
      <c r="O76" s="9">
        <f t="shared" si="10"/>
        <v>0</v>
      </c>
      <c r="P76" s="9">
        <f t="shared" si="10"/>
        <v>0.1829985</v>
      </c>
      <c r="Q76" s="9">
        <f t="shared" si="10"/>
        <v>0.0124146</v>
      </c>
      <c r="R76" s="9">
        <f t="shared" si="10"/>
        <v>0.0005377</v>
      </c>
      <c r="S76" s="9"/>
    </row>
    <row r="77" spans="1:22">
      <c r="A77" s="1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2">
      <c r="A78" s="4" t="s">
        <v>47</v>
      </c>
      <c r="B78" s="4">
        <v>54.054809</v>
      </c>
      <c r="C78" s="4">
        <v>14.171343</v>
      </c>
      <c r="D78" s="4">
        <v>6.357468</v>
      </c>
      <c r="E78" s="4">
        <v>4.853013</v>
      </c>
      <c r="F78" s="4">
        <v>1.896353</v>
      </c>
      <c r="G78" s="4">
        <v>4.123242</v>
      </c>
      <c r="H78" s="4">
        <v>14.195958</v>
      </c>
      <c r="I78" s="4">
        <v>0.089883</v>
      </c>
      <c r="J78" s="4">
        <v>0.03071</v>
      </c>
      <c r="K78" s="4">
        <v>0.103374</v>
      </c>
      <c r="L78" s="4">
        <v>0.00716</v>
      </c>
      <c r="M78" s="4">
        <v>0.005207</v>
      </c>
      <c r="N78" s="4">
        <v>0.110889</v>
      </c>
      <c r="O78" s="5">
        <v>0</v>
      </c>
      <c r="P78" s="5">
        <v>0</v>
      </c>
      <c r="Q78" s="4">
        <v>0</v>
      </c>
      <c r="R78" s="4">
        <v>0.000592</v>
      </c>
      <c r="S78" s="9"/>
    </row>
    <row r="79" spans="1:22">
      <c r="A79" s="9"/>
      <c r="B79" s="9">
        <f t="shared" ref="B79:R79" si="11">B78*0.95</f>
        <v>51.35206855</v>
      </c>
      <c r="C79" s="9">
        <f t="shared" si="11"/>
        <v>13.46277585</v>
      </c>
      <c r="D79" s="9">
        <f t="shared" si="11"/>
        <v>6.0395946</v>
      </c>
      <c r="E79" s="9">
        <f t="shared" si="11"/>
        <v>4.61036235</v>
      </c>
      <c r="F79" s="9">
        <f t="shared" si="11"/>
        <v>1.80153535</v>
      </c>
      <c r="G79" s="9">
        <f t="shared" si="11"/>
        <v>3.9170799</v>
      </c>
      <c r="H79" s="9">
        <f t="shared" si="11"/>
        <v>13.4861601</v>
      </c>
      <c r="I79" s="9">
        <f t="shared" si="11"/>
        <v>0.08538885</v>
      </c>
      <c r="J79" s="9">
        <f t="shared" si="11"/>
        <v>0.0291745</v>
      </c>
      <c r="K79" s="9">
        <f t="shared" si="11"/>
        <v>0.0982053</v>
      </c>
      <c r="L79" s="9">
        <f t="shared" si="11"/>
        <v>0.006802</v>
      </c>
      <c r="M79" s="9">
        <f t="shared" si="11"/>
        <v>0.00494665</v>
      </c>
      <c r="N79" s="9">
        <f t="shared" si="11"/>
        <v>0.10534455</v>
      </c>
      <c r="O79" s="9">
        <f t="shared" si="11"/>
        <v>0</v>
      </c>
      <c r="P79" s="9">
        <f t="shared" si="11"/>
        <v>0</v>
      </c>
      <c r="Q79" s="9">
        <f t="shared" si="11"/>
        <v>0</v>
      </c>
      <c r="R79" s="9">
        <f t="shared" si="11"/>
        <v>0.0005624</v>
      </c>
      <c r="S79" s="9"/>
    </row>
    <row r="80" spans="1:2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>
      <c r="A81" s="7" t="s">
        <v>40</v>
      </c>
      <c r="B81" s="6">
        <v>47.831811</v>
      </c>
      <c r="C81" s="6">
        <v>15.631766</v>
      </c>
      <c r="D81" s="6">
        <v>10.735646</v>
      </c>
      <c r="E81" s="6">
        <v>9.915436</v>
      </c>
      <c r="F81" s="4">
        <v>0.589629</v>
      </c>
      <c r="G81" s="4">
        <v>3.867223</v>
      </c>
      <c r="H81" s="6">
        <v>10.344858</v>
      </c>
      <c r="I81" s="4">
        <v>0.015233</v>
      </c>
      <c r="J81" s="4">
        <v>0.007645</v>
      </c>
      <c r="K81" s="6">
        <v>0.168664</v>
      </c>
      <c r="L81" s="4">
        <v>0.008862</v>
      </c>
      <c r="M81" s="4">
        <v>0.666721</v>
      </c>
      <c r="N81" s="4">
        <v>0</v>
      </c>
      <c r="O81" s="5">
        <v>0</v>
      </c>
      <c r="P81" s="5">
        <v>0.207355</v>
      </c>
      <c r="Q81" s="4">
        <v>0.009151</v>
      </c>
      <c r="R81" s="4">
        <v>0</v>
      </c>
      <c r="S81" s="9"/>
    </row>
    <row r="82" spans="1:19">
      <c r="A82" s="7"/>
      <c r="B82" s="7">
        <f t="shared" ref="B82:R82" si="12">B81*0.95</f>
        <v>45.44022045</v>
      </c>
      <c r="C82" s="7">
        <f t="shared" si="12"/>
        <v>14.8501777</v>
      </c>
      <c r="D82" s="7">
        <f t="shared" si="12"/>
        <v>10.1988637</v>
      </c>
      <c r="E82" s="7">
        <f t="shared" si="12"/>
        <v>9.4196642</v>
      </c>
      <c r="F82" s="7">
        <f t="shared" si="12"/>
        <v>0.56014755</v>
      </c>
      <c r="G82" s="7">
        <f t="shared" si="12"/>
        <v>3.67386185</v>
      </c>
      <c r="H82" s="7">
        <f t="shared" si="12"/>
        <v>9.8276151</v>
      </c>
      <c r="I82" s="7">
        <f t="shared" si="12"/>
        <v>0.01447135</v>
      </c>
      <c r="J82" s="7">
        <f t="shared" si="12"/>
        <v>0.00726275</v>
      </c>
      <c r="K82" s="7">
        <f t="shared" si="12"/>
        <v>0.1602308</v>
      </c>
      <c r="L82" s="7">
        <f t="shared" si="12"/>
        <v>0.0084189</v>
      </c>
      <c r="M82" s="7">
        <f t="shared" si="12"/>
        <v>0.63338495</v>
      </c>
      <c r="N82" s="7">
        <f t="shared" si="12"/>
        <v>0</v>
      </c>
      <c r="O82" s="7">
        <f t="shared" si="12"/>
        <v>0</v>
      </c>
      <c r="P82" s="7">
        <f t="shared" si="12"/>
        <v>0.19698725</v>
      </c>
      <c r="Q82" s="7">
        <f t="shared" si="12"/>
        <v>0.00869345</v>
      </c>
      <c r="R82" s="7">
        <f t="shared" si="12"/>
        <v>0</v>
      </c>
      <c r="S82" s="9"/>
    </row>
    <row r="83" spans="1:19">
      <c r="A83" s="12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>
      <c r="A84" s="4" t="s">
        <v>32</v>
      </c>
      <c r="B84" s="6">
        <v>91.450003</v>
      </c>
      <c r="C84" s="6">
        <v>4.196492</v>
      </c>
      <c r="D84" s="6">
        <v>2.452256</v>
      </c>
      <c r="E84" s="6">
        <v>0.32473</v>
      </c>
      <c r="F84" s="4">
        <v>0.838338</v>
      </c>
      <c r="G84" s="4">
        <v>0.119007</v>
      </c>
      <c r="H84" s="4">
        <v>0.122595</v>
      </c>
      <c r="I84" s="4">
        <v>0.002311</v>
      </c>
      <c r="J84" s="4">
        <v>0.001824</v>
      </c>
      <c r="K84" s="4">
        <v>0.017149</v>
      </c>
      <c r="L84" s="4">
        <v>0.001885</v>
      </c>
      <c r="M84" s="4">
        <v>0.200736</v>
      </c>
      <c r="N84" s="4">
        <v>0.001642</v>
      </c>
      <c r="O84" s="5">
        <v>0</v>
      </c>
      <c r="P84" s="5">
        <v>0.262277</v>
      </c>
      <c r="Q84" s="4">
        <v>0.008757</v>
      </c>
      <c r="R84" s="4">
        <v>0</v>
      </c>
      <c r="S84" s="9"/>
    </row>
    <row r="85" spans="1:19">
      <c r="B85">
        <f t="shared" ref="B85:R85" si="13">B84*0.95</f>
        <v>86.87750285</v>
      </c>
      <c r="C85">
        <f t="shared" si="13"/>
        <v>3.9866674</v>
      </c>
      <c r="D85">
        <f t="shared" si="13"/>
        <v>2.3296432</v>
      </c>
      <c r="E85">
        <f t="shared" si="13"/>
        <v>0.3084935</v>
      </c>
      <c r="F85">
        <f t="shared" si="13"/>
        <v>0.7964211</v>
      </c>
      <c r="G85">
        <f t="shared" si="13"/>
        <v>0.11305665</v>
      </c>
      <c r="H85">
        <f t="shared" si="13"/>
        <v>0.11646525</v>
      </c>
      <c r="I85">
        <f t="shared" si="13"/>
        <v>0.00219545</v>
      </c>
      <c r="J85">
        <f t="shared" si="13"/>
        <v>0.0017328</v>
      </c>
      <c r="K85">
        <f t="shared" si="13"/>
        <v>0.01629155</v>
      </c>
      <c r="L85">
        <f t="shared" si="13"/>
        <v>0.00179075</v>
      </c>
      <c r="M85">
        <f t="shared" si="13"/>
        <v>0.1906992</v>
      </c>
      <c r="N85">
        <f t="shared" si="13"/>
        <v>0.0015599</v>
      </c>
      <c r="O85" s="1">
        <f t="shared" si="13"/>
        <v>0</v>
      </c>
      <c r="P85" s="1">
        <f t="shared" si="13"/>
        <v>0.24916315</v>
      </c>
      <c r="Q85">
        <f t="shared" si="13"/>
        <v>0.00831915</v>
      </c>
      <c r="R85">
        <f t="shared" si="13"/>
        <v>0</v>
      </c>
      <c r="S85" s="9"/>
    </row>
    <row r="86" spans="1:19">
      <c r="A86" s="10"/>
      <c r="S86" s="9"/>
    </row>
    <row r="87" spans="1:19">
      <c r="A87" s="4" t="s">
        <v>22</v>
      </c>
      <c r="B87" s="4">
        <v>5.068683</v>
      </c>
      <c r="C87" s="4">
        <v>85.37462</v>
      </c>
      <c r="D87" s="4">
        <v>4.75975</v>
      </c>
      <c r="E87" s="4">
        <v>0.19934</v>
      </c>
      <c r="F87" s="4">
        <v>0.940217</v>
      </c>
      <c r="G87" s="4">
        <v>0.062161</v>
      </c>
      <c r="H87" s="4">
        <v>0.185672</v>
      </c>
      <c r="I87" s="4">
        <v>0</v>
      </c>
      <c r="J87" s="4">
        <v>0</v>
      </c>
      <c r="K87" s="4">
        <v>0.024527</v>
      </c>
      <c r="L87" s="4">
        <v>0</v>
      </c>
      <c r="M87" s="4">
        <v>3.101811</v>
      </c>
      <c r="N87" s="4">
        <v>0</v>
      </c>
      <c r="O87" s="5">
        <v>0</v>
      </c>
      <c r="P87" s="5">
        <v>0.28322</v>
      </c>
      <c r="Q87" s="4">
        <v>0</v>
      </c>
      <c r="R87" s="4">
        <v>0</v>
      </c>
    </row>
    <row r="88" spans="1:19">
      <c r="B88">
        <f t="shared" ref="B88:R88" si="14">B87*0.95</f>
        <v>4.81524885</v>
      </c>
      <c r="C88">
        <f t="shared" si="14"/>
        <v>81.105889</v>
      </c>
      <c r="D88">
        <f t="shared" si="14"/>
        <v>4.5217625</v>
      </c>
      <c r="E88">
        <f t="shared" si="14"/>
        <v>0.189373</v>
      </c>
      <c r="F88">
        <f t="shared" si="14"/>
        <v>0.89320615</v>
      </c>
      <c r="G88">
        <f t="shared" si="14"/>
        <v>0.05905295</v>
      </c>
      <c r="H88">
        <f t="shared" si="14"/>
        <v>0.1763884</v>
      </c>
      <c r="I88">
        <f t="shared" si="14"/>
        <v>0</v>
      </c>
      <c r="J88">
        <f t="shared" si="14"/>
        <v>0</v>
      </c>
      <c r="K88">
        <f t="shared" si="14"/>
        <v>0.02330065</v>
      </c>
      <c r="L88">
        <f t="shared" si="14"/>
        <v>0</v>
      </c>
      <c r="M88">
        <f t="shared" si="14"/>
        <v>2.94672045</v>
      </c>
      <c r="N88">
        <f t="shared" si="14"/>
        <v>0</v>
      </c>
      <c r="O88" s="1">
        <f t="shared" si="14"/>
        <v>0</v>
      </c>
      <c r="P88" s="1">
        <f t="shared" si="14"/>
        <v>0.269059</v>
      </c>
      <c r="Q88">
        <f t="shared" si="14"/>
        <v>0</v>
      </c>
      <c r="R88">
        <f t="shared" si="14"/>
        <v>0</v>
      </c>
    </row>
    <row r="89" spans="1:19">
      <c r="A89" s="13"/>
    </row>
    <row r="90" spans="1:19">
      <c r="A90" s="4" t="s">
        <v>31</v>
      </c>
      <c r="B90" s="6">
        <v>43.009331</v>
      </c>
      <c r="C90" s="6">
        <v>15.703316</v>
      </c>
      <c r="D90" s="6">
        <v>9.715441</v>
      </c>
      <c r="E90" s="6">
        <v>9.094383</v>
      </c>
      <c r="F90" s="7">
        <v>2.85028</v>
      </c>
      <c r="G90" s="7">
        <v>6.312877</v>
      </c>
      <c r="H90" s="6">
        <v>11.159077</v>
      </c>
      <c r="I90" s="4">
        <v>0.014936</v>
      </c>
      <c r="J90" s="4">
        <v>0.004458</v>
      </c>
      <c r="K90" s="4">
        <v>0.138071</v>
      </c>
      <c r="L90" s="4">
        <v>0.013257</v>
      </c>
      <c r="M90" s="4">
        <v>1.717405</v>
      </c>
      <c r="N90" s="4">
        <v>0.013836</v>
      </c>
      <c r="O90" s="5">
        <v>0</v>
      </c>
      <c r="P90" s="5">
        <v>0.245807</v>
      </c>
      <c r="Q90" s="4">
        <v>0.007526</v>
      </c>
      <c r="R90" s="4">
        <v>0</v>
      </c>
    </row>
    <row r="91" spans="1:19">
      <c r="B91">
        <f t="shared" ref="B91:R91" si="15">B90*0.95</f>
        <v>40.85886445</v>
      </c>
      <c r="C91">
        <f t="shared" si="15"/>
        <v>14.9181502</v>
      </c>
      <c r="D91">
        <f t="shared" si="15"/>
        <v>9.22966895</v>
      </c>
      <c r="E91">
        <f t="shared" si="15"/>
        <v>8.63966385</v>
      </c>
      <c r="F91">
        <f t="shared" si="15"/>
        <v>2.707766</v>
      </c>
      <c r="G91">
        <f t="shared" si="15"/>
        <v>5.99723315</v>
      </c>
      <c r="H91">
        <f t="shared" si="15"/>
        <v>10.60112315</v>
      </c>
      <c r="I91">
        <f t="shared" si="15"/>
        <v>0.0141892</v>
      </c>
      <c r="J91">
        <f t="shared" si="15"/>
        <v>0.0042351</v>
      </c>
      <c r="K91">
        <f t="shared" si="15"/>
        <v>0.13116745</v>
      </c>
      <c r="L91">
        <f t="shared" si="15"/>
        <v>0.01259415</v>
      </c>
      <c r="M91">
        <f t="shared" si="15"/>
        <v>1.63153475</v>
      </c>
      <c r="N91">
        <f t="shared" si="15"/>
        <v>0.0131442</v>
      </c>
      <c r="O91" s="1">
        <f t="shared" si="15"/>
        <v>0</v>
      </c>
      <c r="P91" s="1">
        <f t="shared" si="15"/>
        <v>0.23351665</v>
      </c>
      <c r="Q91">
        <f t="shared" si="15"/>
        <v>0.0071497</v>
      </c>
      <c r="R91">
        <f t="shared" si="15"/>
        <v>0</v>
      </c>
    </row>
    <row r="92" spans="1:19">
      <c r="A92" s="10"/>
    </row>
    <row r="93" spans="1:19">
      <c r="A93" s="4" t="s">
        <v>59</v>
      </c>
      <c r="B93" s="4">
        <v>57.219693</v>
      </c>
      <c r="C93" s="4">
        <v>27.682606</v>
      </c>
      <c r="D93" s="4">
        <v>10.336129</v>
      </c>
      <c r="E93" s="4">
        <v>0.115889</v>
      </c>
      <c r="F93" s="4">
        <v>2.082529</v>
      </c>
      <c r="G93" s="4">
        <v>0.253163</v>
      </c>
      <c r="H93" s="4">
        <v>0.987539</v>
      </c>
      <c r="I93" s="4">
        <v>0.015107</v>
      </c>
      <c r="J93" s="4">
        <v>0.014388</v>
      </c>
      <c r="K93" s="4">
        <v>0.16193</v>
      </c>
      <c r="L93" s="4">
        <v>0.050031</v>
      </c>
      <c r="M93" s="4">
        <v>0.85942</v>
      </c>
      <c r="N93" s="4">
        <v>0.004447</v>
      </c>
      <c r="O93" s="5">
        <v>0</v>
      </c>
      <c r="P93" s="5">
        <v>0.147019</v>
      </c>
      <c r="Q93" s="4">
        <v>0.052778</v>
      </c>
      <c r="R93" s="4">
        <v>0.017331</v>
      </c>
    </row>
    <row r="94" spans="1:19">
      <c r="B94">
        <f t="shared" ref="B94:R94" si="16">B93*0.95</f>
        <v>54.35870835</v>
      </c>
      <c r="C94">
        <f t="shared" si="16"/>
        <v>26.2984757</v>
      </c>
      <c r="D94">
        <f t="shared" si="16"/>
        <v>9.81932255</v>
      </c>
      <c r="E94">
        <f t="shared" si="16"/>
        <v>0.11009455</v>
      </c>
      <c r="F94">
        <f t="shared" si="16"/>
        <v>1.97840255</v>
      </c>
      <c r="G94">
        <f t="shared" si="16"/>
        <v>0.24050485</v>
      </c>
      <c r="H94">
        <f t="shared" si="16"/>
        <v>0.93816205</v>
      </c>
      <c r="I94">
        <f t="shared" si="16"/>
        <v>0.01435165</v>
      </c>
      <c r="J94">
        <f t="shared" si="16"/>
        <v>0.0136686</v>
      </c>
      <c r="K94">
        <f t="shared" si="16"/>
        <v>0.1538335</v>
      </c>
      <c r="L94">
        <f t="shared" si="16"/>
        <v>0.04752945</v>
      </c>
      <c r="M94">
        <f t="shared" si="16"/>
        <v>0.816449</v>
      </c>
      <c r="N94">
        <f t="shared" si="16"/>
        <v>0.00422465</v>
      </c>
      <c r="O94" s="1">
        <f t="shared" si="16"/>
        <v>0</v>
      </c>
      <c r="P94" s="1">
        <f t="shared" si="16"/>
        <v>0.13966805</v>
      </c>
      <c r="Q94">
        <f t="shared" si="16"/>
        <v>0.0501391</v>
      </c>
      <c r="R94">
        <f t="shared" si="16"/>
        <v>0.01646445</v>
      </c>
    </row>
    <row r="95" spans="1:19">
      <c r="A95" s="11"/>
    </row>
    <row r="96" spans="1:19">
      <c r="A96" s="4" t="s">
        <v>29</v>
      </c>
      <c r="B96" s="6">
        <v>68.994892</v>
      </c>
      <c r="C96" s="6">
        <v>14.961015</v>
      </c>
      <c r="D96" s="6">
        <v>1.524778</v>
      </c>
      <c r="E96" s="6">
        <v>1.572192</v>
      </c>
      <c r="F96" s="7">
        <v>6.054828</v>
      </c>
      <c r="G96" s="7">
        <v>5.748939</v>
      </c>
      <c r="H96" s="6">
        <v>0.592482</v>
      </c>
      <c r="I96" s="4">
        <v>0.000398</v>
      </c>
      <c r="J96" s="4">
        <v>0.000285</v>
      </c>
      <c r="K96" s="4">
        <v>0.045195</v>
      </c>
      <c r="L96" s="4">
        <v>0.002448</v>
      </c>
      <c r="M96" s="4">
        <v>0.204514</v>
      </c>
      <c r="N96" s="4">
        <v>0.000228</v>
      </c>
      <c r="O96" s="5">
        <v>0</v>
      </c>
      <c r="P96" s="5">
        <v>0.189544</v>
      </c>
      <c r="Q96" s="4">
        <v>0.107408</v>
      </c>
      <c r="R96" s="4">
        <v>0.000854</v>
      </c>
    </row>
    <row r="97" spans="1:19">
      <c r="B97">
        <f t="shared" ref="B97:R97" si="17">B96*0.95</f>
        <v>65.5451474</v>
      </c>
      <c r="C97">
        <f t="shared" si="17"/>
        <v>14.21296425</v>
      </c>
      <c r="D97">
        <f t="shared" si="17"/>
        <v>1.4485391</v>
      </c>
      <c r="E97">
        <f t="shared" si="17"/>
        <v>1.4935824</v>
      </c>
      <c r="F97">
        <f t="shared" si="17"/>
        <v>5.7520866</v>
      </c>
      <c r="G97">
        <f t="shared" si="17"/>
        <v>5.46149205</v>
      </c>
      <c r="H97">
        <f t="shared" si="17"/>
        <v>0.5628579</v>
      </c>
      <c r="I97">
        <f t="shared" si="17"/>
        <v>0.0003781</v>
      </c>
      <c r="J97">
        <f t="shared" si="17"/>
        <v>0.00027075</v>
      </c>
      <c r="K97">
        <f t="shared" si="17"/>
        <v>0.04293525</v>
      </c>
      <c r="L97">
        <f t="shared" si="17"/>
        <v>0.0023256</v>
      </c>
      <c r="M97">
        <f t="shared" si="17"/>
        <v>0.1942883</v>
      </c>
      <c r="N97">
        <f t="shared" si="17"/>
        <v>0.0002166</v>
      </c>
      <c r="O97" s="1">
        <f t="shared" si="17"/>
        <v>0</v>
      </c>
      <c r="P97" s="1">
        <f t="shared" si="17"/>
        <v>0.1800668</v>
      </c>
      <c r="Q97">
        <f t="shared" si="17"/>
        <v>0.1020376</v>
      </c>
      <c r="R97">
        <f t="shared" si="17"/>
        <v>0.0008113</v>
      </c>
    </row>
    <row r="98" spans="1:19">
      <c r="A98" s="11"/>
    </row>
    <row r="99" spans="1:19">
      <c r="A99" s="4" t="s">
        <v>60</v>
      </c>
      <c r="B99" s="4">
        <v>38.343751</v>
      </c>
      <c r="C99" s="4">
        <v>40.450729</v>
      </c>
      <c r="D99" s="4">
        <v>16.559385</v>
      </c>
      <c r="E99" s="4">
        <v>0.200443</v>
      </c>
      <c r="F99" s="4">
        <v>0.299255</v>
      </c>
      <c r="G99" s="4">
        <v>0.18085</v>
      </c>
      <c r="H99" s="4">
        <v>0.452336</v>
      </c>
      <c r="I99" s="4">
        <v>0.055608</v>
      </c>
      <c r="J99" s="4">
        <v>0.010783</v>
      </c>
      <c r="K99" s="4">
        <v>0.228353</v>
      </c>
      <c r="L99" s="4">
        <v>0.015294</v>
      </c>
      <c r="M99" s="4">
        <v>2.974225</v>
      </c>
      <c r="N99" s="4">
        <v>0.033125</v>
      </c>
      <c r="O99" s="5">
        <v>0</v>
      </c>
      <c r="P99" s="5">
        <v>0.176057</v>
      </c>
      <c r="Q99" s="4">
        <v>0.019311</v>
      </c>
      <c r="R99" s="4">
        <v>0.000493</v>
      </c>
    </row>
    <row r="100" spans="1:19">
      <c r="B100">
        <f t="shared" ref="B100:R100" si="18">B99*0.95</f>
        <v>36.42656345</v>
      </c>
      <c r="C100">
        <f t="shared" si="18"/>
        <v>38.42819255</v>
      </c>
      <c r="D100">
        <f t="shared" si="18"/>
        <v>15.73141575</v>
      </c>
      <c r="E100">
        <f t="shared" si="18"/>
        <v>0.19042085</v>
      </c>
      <c r="F100">
        <f t="shared" si="18"/>
        <v>0.28429225</v>
      </c>
      <c r="G100">
        <f t="shared" si="18"/>
        <v>0.1718075</v>
      </c>
      <c r="H100">
        <f t="shared" si="18"/>
        <v>0.4297192</v>
      </c>
      <c r="I100">
        <f t="shared" si="18"/>
        <v>0.0528276</v>
      </c>
      <c r="J100">
        <f t="shared" si="18"/>
        <v>0.01024385</v>
      </c>
      <c r="K100">
        <f t="shared" si="18"/>
        <v>0.21693535</v>
      </c>
      <c r="L100">
        <f t="shared" si="18"/>
        <v>0.0145293</v>
      </c>
      <c r="M100">
        <f t="shared" si="18"/>
        <v>2.82551375</v>
      </c>
      <c r="N100">
        <f t="shared" si="18"/>
        <v>0.03146875</v>
      </c>
      <c r="O100" s="1">
        <f t="shared" si="18"/>
        <v>0</v>
      </c>
      <c r="P100" s="1">
        <f t="shared" si="18"/>
        <v>0.16725415</v>
      </c>
      <c r="Q100">
        <f t="shared" si="18"/>
        <v>0.01834545</v>
      </c>
      <c r="R100">
        <f t="shared" si="18"/>
        <v>0.00046835</v>
      </c>
    </row>
    <row r="101" spans="1:19">
      <c r="A101" s="11"/>
    </row>
    <row r="102" spans="1:19">
      <c r="A102" s="4" t="s">
        <v>20</v>
      </c>
      <c r="B102" s="4">
        <v>55.978924</v>
      </c>
      <c r="C102" s="4">
        <v>0.087029</v>
      </c>
      <c r="D102" s="4">
        <v>0.196128</v>
      </c>
      <c r="E102" s="4">
        <v>0.366662</v>
      </c>
      <c r="F102" s="4">
        <v>0.009706</v>
      </c>
      <c r="G102" s="4">
        <v>0.03774</v>
      </c>
      <c r="H102" s="4">
        <v>42.903954</v>
      </c>
      <c r="I102" s="4">
        <v>0</v>
      </c>
      <c r="J102" s="4">
        <v>0</v>
      </c>
      <c r="K102" s="4">
        <v>0.001084</v>
      </c>
      <c r="L102" s="4">
        <v>0</v>
      </c>
      <c r="M102" s="4">
        <v>0.003416</v>
      </c>
      <c r="N102" s="4">
        <v>0</v>
      </c>
      <c r="O102" s="5">
        <v>0</v>
      </c>
      <c r="P102" s="5">
        <v>0.415356</v>
      </c>
      <c r="Q102" s="4">
        <v>0</v>
      </c>
      <c r="R102" s="4">
        <v>0</v>
      </c>
    </row>
    <row r="103" spans="1:19">
      <c r="B103">
        <f t="shared" ref="B103:R103" si="19">B102*0.95</f>
        <v>53.1799778</v>
      </c>
      <c r="C103">
        <f t="shared" si="19"/>
        <v>0.08267755</v>
      </c>
      <c r="D103">
        <f t="shared" si="19"/>
        <v>0.1863216</v>
      </c>
      <c r="E103">
        <f t="shared" si="19"/>
        <v>0.3483289</v>
      </c>
      <c r="F103">
        <f t="shared" si="19"/>
        <v>0.0092207</v>
      </c>
      <c r="G103">
        <f t="shared" si="19"/>
        <v>0.035853</v>
      </c>
      <c r="H103">
        <f t="shared" si="19"/>
        <v>40.7587563</v>
      </c>
      <c r="I103">
        <f t="shared" si="19"/>
        <v>0</v>
      </c>
      <c r="J103">
        <f t="shared" si="19"/>
        <v>0</v>
      </c>
      <c r="K103">
        <f t="shared" si="19"/>
        <v>0.0010298</v>
      </c>
      <c r="L103">
        <f t="shared" si="19"/>
        <v>0</v>
      </c>
      <c r="M103">
        <f t="shared" si="19"/>
        <v>0.0032452</v>
      </c>
      <c r="N103">
        <f t="shared" si="19"/>
        <v>0</v>
      </c>
      <c r="O103" s="1">
        <f t="shared" si="19"/>
        <v>0</v>
      </c>
      <c r="P103" s="1">
        <f t="shared" si="19"/>
        <v>0.3945882</v>
      </c>
      <c r="Q103">
        <f t="shared" si="19"/>
        <v>0</v>
      </c>
      <c r="R103">
        <f t="shared" si="19"/>
        <v>0</v>
      </c>
    </row>
    <row r="104" spans="1:19">
      <c r="A104" s="13"/>
    </row>
    <row r="105" spans="1:19">
      <c r="A105" s="4" t="s">
        <v>39</v>
      </c>
      <c r="B105" s="6">
        <v>61.642356</v>
      </c>
      <c r="C105" s="6">
        <v>17.900715</v>
      </c>
      <c r="D105" s="6">
        <v>2.183712</v>
      </c>
      <c r="E105" s="6">
        <v>2.651003</v>
      </c>
      <c r="F105" s="4">
        <v>3.084817</v>
      </c>
      <c r="G105" s="6">
        <v>9.556366</v>
      </c>
      <c r="H105" s="6">
        <v>2.258101</v>
      </c>
      <c r="I105" s="4">
        <v>0.002571</v>
      </c>
      <c r="J105" s="4">
        <v>0.000279</v>
      </c>
      <c r="K105" s="4">
        <v>0.043761</v>
      </c>
      <c r="L105" s="4">
        <v>0.004024</v>
      </c>
      <c r="M105" s="4">
        <v>0.210144</v>
      </c>
      <c r="N105" s="4">
        <v>0</v>
      </c>
      <c r="O105" s="5">
        <v>0</v>
      </c>
      <c r="P105" s="5">
        <v>0.44203</v>
      </c>
      <c r="Q105" s="4">
        <v>0.02012</v>
      </c>
      <c r="R105" s="4">
        <v>0</v>
      </c>
    </row>
    <row r="106" spans="1:19">
      <c r="B106">
        <f t="shared" ref="B106:R106" si="20">B105*0.95</f>
        <v>58.5602382</v>
      </c>
      <c r="C106">
        <f t="shared" si="20"/>
        <v>17.00567925</v>
      </c>
      <c r="D106">
        <f t="shared" si="20"/>
        <v>2.0745264</v>
      </c>
      <c r="E106">
        <f t="shared" si="20"/>
        <v>2.51845285</v>
      </c>
      <c r="F106">
        <f t="shared" si="20"/>
        <v>2.93057615</v>
      </c>
      <c r="G106">
        <f t="shared" si="20"/>
        <v>9.0785477</v>
      </c>
      <c r="H106">
        <f t="shared" si="20"/>
        <v>2.14519595</v>
      </c>
      <c r="I106">
        <f t="shared" si="20"/>
        <v>0.00244245</v>
      </c>
      <c r="J106">
        <f t="shared" si="20"/>
        <v>0.00026505</v>
      </c>
      <c r="K106">
        <f t="shared" si="20"/>
        <v>0.04157295</v>
      </c>
      <c r="L106">
        <f t="shared" si="20"/>
        <v>0.0038228</v>
      </c>
      <c r="M106">
        <f t="shared" si="20"/>
        <v>0.1996368</v>
      </c>
      <c r="N106">
        <f t="shared" si="20"/>
        <v>0</v>
      </c>
      <c r="O106" s="1">
        <f t="shared" si="20"/>
        <v>0</v>
      </c>
      <c r="P106" s="1">
        <f t="shared" si="20"/>
        <v>0.4199285</v>
      </c>
      <c r="Q106">
        <f t="shared" si="20"/>
        <v>0.019114</v>
      </c>
      <c r="R106">
        <f t="shared" si="20"/>
        <v>0</v>
      </c>
    </row>
    <row r="107" spans="1:19">
      <c r="A107" s="14"/>
    </row>
    <row r="108" spans="1:19">
      <c r="A108" s="6" t="s">
        <v>23</v>
      </c>
      <c r="B108" s="4">
        <v>39.012632</v>
      </c>
      <c r="C108" s="4">
        <v>14.457943</v>
      </c>
      <c r="D108" s="4">
        <v>8.96396</v>
      </c>
      <c r="E108" s="4">
        <v>1.476113</v>
      </c>
      <c r="F108" s="4">
        <v>3.087334</v>
      </c>
      <c r="G108" s="4">
        <v>0.126528</v>
      </c>
      <c r="H108" s="4">
        <v>1.737302</v>
      </c>
      <c r="I108" s="4">
        <v>0</v>
      </c>
      <c r="J108" s="4">
        <v>0</v>
      </c>
      <c r="K108" s="4">
        <v>31.138187</v>
      </c>
      <c r="L108" s="4">
        <v>0</v>
      </c>
      <c r="M108" s="4">
        <v>0</v>
      </c>
      <c r="N108" s="4">
        <v>0</v>
      </c>
      <c r="O108" s="5">
        <v>0</v>
      </c>
      <c r="P108" s="5">
        <v>0</v>
      </c>
      <c r="Q108" s="4">
        <v>0</v>
      </c>
      <c r="R108" s="4">
        <v>0</v>
      </c>
      <c r="S108">
        <f>B108+C108+D108+E108+F108+G108+H108+K108+M108</f>
        <v>99.999999</v>
      </c>
    </row>
    <row r="109" spans="1:19">
      <c r="B109">
        <f>B108*0.95</f>
        <v>37.0620004</v>
      </c>
      <c r="C109">
        <f t="shared" ref="C109:R109" si="21">C108*0.95</f>
        <v>13.73504585</v>
      </c>
      <c r="D109">
        <f t="shared" si="21"/>
        <v>8.515762</v>
      </c>
      <c r="E109">
        <f t="shared" si="21"/>
        <v>1.40230735</v>
      </c>
      <c r="F109">
        <f t="shared" si="21"/>
        <v>2.9329673</v>
      </c>
      <c r="G109">
        <f t="shared" si="21"/>
        <v>0.1202016</v>
      </c>
      <c r="H109">
        <f t="shared" si="21"/>
        <v>1.6504369</v>
      </c>
      <c r="I109">
        <f t="shared" si="21"/>
        <v>0</v>
      </c>
      <c r="J109">
        <f t="shared" si="21"/>
        <v>0</v>
      </c>
      <c r="K109">
        <f t="shared" si="21"/>
        <v>29.58127765</v>
      </c>
      <c r="L109">
        <f t="shared" si="21"/>
        <v>0</v>
      </c>
      <c r="M109">
        <f t="shared" si="21"/>
        <v>0</v>
      </c>
      <c r="N109">
        <f t="shared" si="21"/>
        <v>0</v>
      </c>
      <c r="O109">
        <f t="shared" si="21"/>
        <v>0</v>
      </c>
      <c r="P109">
        <f t="shared" si="21"/>
        <v>0</v>
      </c>
      <c r="Q109">
        <f t="shared" si="21"/>
        <v>0</v>
      </c>
      <c r="R109">
        <f t="shared" si="21"/>
        <v>0</v>
      </c>
    </row>
    <row r="111" ht="13" customHeight="1" spans="1:19">
      <c r="A111" s="6" t="s">
        <v>28</v>
      </c>
      <c r="B111" s="4">
        <v>6.277813</v>
      </c>
      <c r="C111" s="4">
        <v>69.365988</v>
      </c>
      <c r="D111" s="4">
        <v>18.810791</v>
      </c>
      <c r="E111" s="4">
        <v>0.119581</v>
      </c>
      <c r="F111" s="4">
        <v>0.039577</v>
      </c>
      <c r="G111" s="4">
        <v>0.057124</v>
      </c>
      <c r="H111" s="4">
        <v>0.066786</v>
      </c>
      <c r="I111" s="4">
        <v>0.09214</v>
      </c>
      <c r="J111" s="4">
        <v>0</v>
      </c>
      <c r="K111" s="4">
        <v>0.029528</v>
      </c>
      <c r="L111" s="4">
        <v>0.002164</v>
      </c>
      <c r="M111" s="4">
        <v>3.832083</v>
      </c>
      <c r="N111" s="4">
        <v>0</v>
      </c>
      <c r="O111" s="5">
        <v>0</v>
      </c>
      <c r="P111" s="5">
        <v>1.306425</v>
      </c>
      <c r="Q111" s="4">
        <v>0</v>
      </c>
      <c r="R111" s="4">
        <v>0</v>
      </c>
      <c r="S111">
        <f>B111+C111+D111+E111+F111+G111+H111+K111+M111</f>
        <v>98.599271</v>
      </c>
    </row>
    <row r="112" spans="1:19">
      <c r="B112">
        <f>B111*0.95</f>
        <v>5.96392235</v>
      </c>
      <c r="C112">
        <f t="shared" ref="C112:R112" si="22">C111*0.95</f>
        <v>65.8976886</v>
      </c>
      <c r="D112">
        <f t="shared" si="22"/>
        <v>17.87025145</v>
      </c>
      <c r="E112">
        <f t="shared" si="22"/>
        <v>0.11360195</v>
      </c>
      <c r="F112">
        <f t="shared" si="22"/>
        <v>0.03759815</v>
      </c>
      <c r="G112">
        <f t="shared" si="22"/>
        <v>0.0542678</v>
      </c>
      <c r="H112">
        <f t="shared" si="22"/>
        <v>0.0634467</v>
      </c>
      <c r="I112">
        <f t="shared" si="22"/>
        <v>0.087533</v>
      </c>
      <c r="J112">
        <f t="shared" si="22"/>
        <v>0</v>
      </c>
      <c r="K112">
        <f t="shared" si="22"/>
        <v>0.0280516</v>
      </c>
      <c r="L112">
        <f t="shared" si="22"/>
        <v>0.0020558</v>
      </c>
      <c r="M112">
        <f t="shared" si="22"/>
        <v>3.64047885</v>
      </c>
      <c r="N112">
        <f t="shared" si="22"/>
        <v>0</v>
      </c>
      <c r="O112">
        <f t="shared" si="22"/>
        <v>0</v>
      </c>
      <c r="P112">
        <f t="shared" si="22"/>
        <v>1.24110375</v>
      </c>
      <c r="Q112">
        <f t="shared" si="22"/>
        <v>0</v>
      </c>
      <c r="R112">
        <f t="shared" si="22"/>
        <v>0</v>
      </c>
    </row>
    <row r="114" spans="1:19">
      <c r="A114" s="6" t="s">
        <v>62</v>
      </c>
      <c r="B114" s="4">
        <v>3.085974</v>
      </c>
      <c r="C114" s="4">
        <v>9.524287</v>
      </c>
      <c r="D114" s="4">
        <v>66.370448</v>
      </c>
      <c r="E114" s="4">
        <v>1.260456</v>
      </c>
      <c r="F114" s="4">
        <v>0.04597</v>
      </c>
      <c r="G114" s="4">
        <v>0.14657</v>
      </c>
      <c r="H114" s="4">
        <v>5.460316</v>
      </c>
      <c r="I114" s="4">
        <v>0</v>
      </c>
      <c r="J114" s="4">
        <v>0.019341</v>
      </c>
      <c r="K114" s="4">
        <v>0.242984</v>
      </c>
      <c r="L114" s="4">
        <v>0.055207</v>
      </c>
      <c r="M114" s="4">
        <v>11.664594</v>
      </c>
      <c r="N114" s="4">
        <v>0.074981</v>
      </c>
      <c r="O114" s="5">
        <v>0</v>
      </c>
      <c r="P114" s="5">
        <v>2.048872</v>
      </c>
      <c r="Q114" s="4">
        <v>0</v>
      </c>
      <c r="R114" s="4">
        <v>0</v>
      </c>
      <c r="S114">
        <f>B114+C114+D114+E114+F114+G114+H114+K114+M114</f>
        <v>97.801599</v>
      </c>
    </row>
    <row r="115" spans="1:19">
      <c r="B115">
        <f>B114*0.95</f>
        <v>2.9316753</v>
      </c>
      <c r="C115">
        <f t="shared" ref="C115:R115" si="23">C114*0.95</f>
        <v>9.04807265</v>
      </c>
      <c r="D115">
        <f t="shared" si="23"/>
        <v>63.0519256</v>
      </c>
      <c r="E115">
        <f t="shared" si="23"/>
        <v>1.1974332</v>
      </c>
      <c r="F115">
        <f t="shared" si="23"/>
        <v>0.0436715</v>
      </c>
      <c r="G115">
        <f t="shared" si="23"/>
        <v>0.1392415</v>
      </c>
      <c r="H115">
        <f t="shared" si="23"/>
        <v>5.1873002</v>
      </c>
      <c r="I115">
        <f t="shared" si="23"/>
        <v>0</v>
      </c>
      <c r="J115">
        <f t="shared" si="23"/>
        <v>0.01837395</v>
      </c>
      <c r="K115">
        <f t="shared" si="23"/>
        <v>0.2308348</v>
      </c>
      <c r="L115">
        <f t="shared" si="23"/>
        <v>0.05244665</v>
      </c>
      <c r="M115">
        <f t="shared" si="23"/>
        <v>11.0813643</v>
      </c>
      <c r="N115">
        <f t="shared" si="23"/>
        <v>0.07123195</v>
      </c>
      <c r="O115">
        <f t="shared" si="23"/>
        <v>0</v>
      </c>
      <c r="P115">
        <f t="shared" si="23"/>
        <v>1.9464284</v>
      </c>
      <c r="Q115">
        <f t="shared" si="23"/>
        <v>0</v>
      </c>
      <c r="R115">
        <f t="shared" si="23"/>
        <v>0</v>
      </c>
    </row>
  </sheetData>
  <sortState ref="A2:S4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赖国梁</cp:lastModifiedBy>
  <dcterms:created xsi:type="dcterms:W3CDTF">2025-12-02T14:53:00Z</dcterms:created>
  <dcterms:modified xsi:type="dcterms:W3CDTF">2026-03-19T02:20:12Z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3C5A0B148CA24704B12A1AF265E1287C_12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